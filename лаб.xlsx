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35" tabRatio="869" firstSheet="3" activeTab="10"/>
  </bookViews>
  <sheets>
    <sheet name="стандарт лист" sheetId="1" r:id="rId1"/>
    <sheet name="сортировка фамилия" sheetId="2" r:id="rId2"/>
    <sheet name="сортировка имени" sheetId="3" r:id="rId3"/>
    <sheet name="сортировка отчество" sheetId="4" r:id="rId4"/>
    <sheet name="сортировка дата рождения" sheetId="5" r:id="rId5"/>
    <sheet name="особая сортировка по отделу" sheetId="6" r:id="rId6"/>
    <sheet name="Авто фильтр" sheetId="7" r:id="rId7"/>
    <sheet name="Расширенный фильтр" sheetId="8" r:id="rId8"/>
    <sheet name="Подведение промежуточных итогов" sheetId="9" r:id="rId9"/>
    <sheet name=" Функции баз данных" sheetId="10" r:id="rId10"/>
    <sheet name="Проверка вводимых данных" sheetId="11" r:id="rId11"/>
  </sheets>
  <definedNames>
    <definedName name="_xlnm._FilterDatabase" localSheetId="6" hidden="1">'Авто фильтр'!$A$1:$J$50</definedName>
    <definedName name="_xlnm._FilterDatabase" localSheetId="7" hidden="1">'Расширенный фильтр'!$A$1:$J$50</definedName>
    <definedName name="_xlnm.Extract" localSheetId="7">'Расширенный фильтр'!$M$6:$T$14</definedName>
    <definedName name="_xlnm.Criteria" localSheetId="7">'Расширенный фильтр'!$M$1:$V$3</definedName>
  </definedNames>
  <calcPr calcId="125725"/>
</workbook>
</file>

<file path=xl/calcChain.xml><?xml version="1.0" encoding="utf-8"?>
<calcChain xmlns="http://schemas.openxmlformats.org/spreadsheetml/2006/main">
  <c r="G50" i="11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50" i="1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J57" i="9"/>
  <c r="J55"/>
  <c r="J43"/>
  <c r="J35"/>
  <c r="J56"/>
  <c r="J44"/>
  <c r="J36"/>
  <c r="G34"/>
  <c r="G42"/>
  <c r="G54"/>
  <c r="G33"/>
  <c r="G32"/>
  <c r="G31"/>
  <c r="G30"/>
  <c r="G53"/>
  <c r="G29"/>
  <c r="G28"/>
  <c r="G27"/>
  <c r="G41"/>
  <c r="G26"/>
  <c r="G25"/>
  <c r="G24"/>
  <c r="G23"/>
  <c r="G22"/>
  <c r="G52"/>
  <c r="G21"/>
  <c r="G20"/>
  <c r="G19"/>
  <c r="G18"/>
  <c r="G17"/>
  <c r="G40"/>
  <c r="G16"/>
  <c r="G15"/>
  <c r="G39"/>
  <c r="G51"/>
  <c r="G50"/>
  <c r="G49"/>
  <c r="G14"/>
  <c r="G13"/>
  <c r="G48"/>
  <c r="G12"/>
  <c r="G11"/>
  <c r="G10"/>
  <c r="G9"/>
  <c r="G38"/>
  <c r="G8"/>
  <c r="G37"/>
  <c r="G7"/>
  <c r="G6"/>
  <c r="G47"/>
  <c r="G46"/>
  <c r="G5"/>
  <c r="G45"/>
  <c r="G4"/>
  <c r="G3"/>
  <c r="G2"/>
  <c r="G50" i="8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50" i="7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50" i="6"/>
  <c r="G7"/>
  <c r="G17"/>
  <c r="G49"/>
  <c r="G48"/>
  <c r="G47"/>
  <c r="G46"/>
  <c r="G16"/>
  <c r="G45"/>
  <c r="G44"/>
  <c r="G43"/>
  <c r="G6"/>
  <c r="G42"/>
  <c r="G41"/>
  <c r="G40"/>
  <c r="G39"/>
  <c r="G38"/>
  <c r="G15"/>
  <c r="G37"/>
  <c r="G36"/>
  <c r="G35"/>
  <c r="G34"/>
  <c r="G33"/>
  <c r="G5"/>
  <c r="G32"/>
  <c r="G31"/>
  <c r="G4"/>
  <c r="G14"/>
  <c r="G13"/>
  <c r="G12"/>
  <c r="G30"/>
  <c r="G29"/>
  <c r="G11"/>
  <c r="G28"/>
  <c r="G27"/>
  <c r="G26"/>
  <c r="G25"/>
  <c r="G3"/>
  <c r="G24"/>
  <c r="G2"/>
  <c r="G23"/>
  <c r="G22"/>
  <c r="G10"/>
  <c r="G9"/>
  <c r="G21"/>
  <c r="G8"/>
  <c r="G20"/>
  <c r="G19"/>
  <c r="G18"/>
  <c r="G31" i="5"/>
  <c r="G38"/>
  <c r="G23"/>
  <c r="G16"/>
  <c r="G21"/>
  <c r="G3"/>
  <c r="G15"/>
  <c r="G48"/>
  <c r="G39"/>
  <c r="G9"/>
  <c r="G17"/>
  <c r="G40"/>
  <c r="G26"/>
  <c r="G47"/>
  <c r="G11"/>
  <c r="G22"/>
  <c r="G7"/>
  <c r="G46"/>
  <c r="G18"/>
  <c r="G37"/>
  <c r="G45"/>
  <c r="G10"/>
  <c r="G27"/>
  <c r="G6"/>
  <c r="G12"/>
  <c r="G19"/>
  <c r="G42"/>
  <c r="G2"/>
  <c r="G20"/>
  <c r="G24"/>
  <c r="G8"/>
  <c r="G28"/>
  <c r="G35"/>
  <c r="G30"/>
  <c r="G13"/>
  <c r="G44"/>
  <c r="G4"/>
  <c r="G14"/>
  <c r="G41"/>
  <c r="G5"/>
  <c r="G36"/>
  <c r="G25"/>
  <c r="G50"/>
  <c r="G32"/>
  <c r="G49"/>
  <c r="G33"/>
  <c r="G34"/>
  <c r="G43"/>
  <c r="G29"/>
  <c r="G36" i="4"/>
  <c r="G49"/>
  <c r="G20"/>
  <c r="G13"/>
  <c r="G12"/>
  <c r="G45"/>
  <c r="G5"/>
  <c r="G24"/>
  <c r="G38"/>
  <c r="G35"/>
  <c r="G8"/>
  <c r="G23"/>
  <c r="G46"/>
  <c r="G22"/>
  <c r="G2"/>
  <c r="G7"/>
  <c r="G34"/>
  <c r="G19"/>
  <c r="G33"/>
  <c r="G42"/>
  <c r="G27"/>
  <c r="G25"/>
  <c r="G31"/>
  <c r="G10"/>
  <c r="G4"/>
  <c r="G26"/>
  <c r="G29"/>
  <c r="G40"/>
  <c r="G6"/>
  <c r="G41"/>
  <c r="G16"/>
  <c r="G11"/>
  <c r="G48"/>
  <c r="G18"/>
  <c r="G14"/>
  <c r="G37"/>
  <c r="G50"/>
  <c r="G9"/>
  <c r="G44"/>
  <c r="G47"/>
  <c r="G39"/>
  <c r="G3"/>
  <c r="G17"/>
  <c r="G21"/>
  <c r="G28"/>
  <c r="G32"/>
  <c r="G30"/>
  <c r="G43"/>
  <c r="G15"/>
  <c r="G47" i="3"/>
  <c r="G27"/>
  <c r="G41"/>
  <c r="G38"/>
  <c r="G14"/>
  <c r="G26"/>
  <c r="G3"/>
  <c r="G6"/>
  <c r="G11"/>
  <c r="G19"/>
  <c r="G12"/>
  <c r="G32"/>
  <c r="G36"/>
  <c r="G34"/>
  <c r="G50"/>
  <c r="G2"/>
  <c r="G18"/>
  <c r="G24"/>
  <c r="G16"/>
  <c r="G35"/>
  <c r="G33"/>
  <c r="G13"/>
  <c r="G31"/>
  <c r="G7"/>
  <c r="G46"/>
  <c r="G49"/>
  <c r="G44"/>
  <c r="G17"/>
  <c r="G30"/>
  <c r="G45"/>
  <c r="G15"/>
  <c r="G21"/>
  <c r="G37"/>
  <c r="G43"/>
  <c r="G22"/>
  <c r="G8"/>
  <c r="G28"/>
  <c r="G10"/>
  <c r="G5"/>
  <c r="G48"/>
  <c r="G29"/>
  <c r="G39"/>
  <c r="G9"/>
  <c r="G25"/>
  <c r="G40"/>
  <c r="G4"/>
  <c r="G23"/>
  <c r="G42"/>
  <c r="G20"/>
  <c r="G43" i="2"/>
  <c r="G16"/>
  <c r="G11"/>
  <c r="G27"/>
  <c r="G6"/>
  <c r="G38"/>
  <c r="G34"/>
  <c r="G29"/>
  <c r="G22"/>
  <c r="G37"/>
  <c r="G39"/>
  <c r="G9"/>
  <c r="G12"/>
  <c r="G47"/>
  <c r="G3"/>
  <c r="G26"/>
  <c r="G30"/>
  <c r="G23"/>
  <c r="G21"/>
  <c r="G31"/>
  <c r="G49"/>
  <c r="G10"/>
  <c r="G19"/>
  <c r="G15"/>
  <c r="G41"/>
  <c r="G45"/>
  <c r="G2"/>
  <c r="G8"/>
  <c r="G42"/>
  <c r="G44"/>
  <c r="G48"/>
  <c r="G5"/>
  <c r="G36"/>
  <c r="G13"/>
  <c r="G40"/>
  <c r="G20"/>
  <c r="G28"/>
  <c r="G50"/>
  <c r="G7"/>
  <c r="G33"/>
  <c r="G46"/>
  <c r="G18"/>
  <c r="G32"/>
  <c r="G25"/>
  <c r="G17"/>
  <c r="G14"/>
  <c r="G35"/>
  <c r="G24"/>
  <c r="G4"/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2"/>
  <c r="J58" i="9" l="1"/>
</calcChain>
</file>

<file path=xl/sharedStrings.xml><?xml version="1.0" encoding="utf-8"?>
<sst xmlns="http://schemas.openxmlformats.org/spreadsheetml/2006/main" count="3373" uniqueCount="165">
  <si>
    <t>Имя</t>
  </si>
  <si>
    <t>Отчество</t>
  </si>
  <si>
    <t>Пол</t>
  </si>
  <si>
    <t>Дата рождения</t>
  </si>
  <si>
    <t>Дата приема на работу</t>
  </si>
  <si>
    <t>Возраст</t>
  </si>
  <si>
    <t>Отдел</t>
  </si>
  <si>
    <t>Должность</t>
  </si>
  <si>
    <t>Оклад</t>
  </si>
  <si>
    <t>Фамилия</t>
  </si>
  <si>
    <t>Афанасьева</t>
  </si>
  <si>
    <t xml:space="preserve"> Виктория</t>
  </si>
  <si>
    <t xml:space="preserve"> Данииловна</t>
  </si>
  <si>
    <t>Ж</t>
  </si>
  <si>
    <t>Роман</t>
  </si>
  <si>
    <t>Прокльев</t>
  </si>
  <si>
    <t>М</t>
  </si>
  <si>
    <t>Симонова</t>
  </si>
  <si>
    <t>Диана</t>
  </si>
  <si>
    <t>Львовна</t>
  </si>
  <si>
    <t>Максимовна</t>
  </si>
  <si>
    <t xml:space="preserve">Журавлева  </t>
  </si>
  <si>
    <t>Алёна</t>
  </si>
  <si>
    <t>Кирилловна</t>
  </si>
  <si>
    <t>Ильина</t>
  </si>
  <si>
    <t>Полина</t>
  </si>
  <si>
    <t>Дмитрий</t>
  </si>
  <si>
    <t>Егорович</t>
  </si>
  <si>
    <t>Андрей</t>
  </si>
  <si>
    <t>Денисович</t>
  </si>
  <si>
    <t xml:space="preserve">Овчинников </t>
  </si>
  <si>
    <t>Александр</t>
  </si>
  <si>
    <t>Иван</t>
  </si>
  <si>
    <t>Фомичев</t>
  </si>
  <si>
    <t>Михайлович</t>
  </si>
  <si>
    <t>Тимофеевич</t>
  </si>
  <si>
    <t>Степан</t>
  </si>
  <si>
    <t>Потапов</t>
  </si>
  <si>
    <t>Романовна</t>
  </si>
  <si>
    <t>Алина</t>
  </si>
  <si>
    <t>Большакова</t>
  </si>
  <si>
    <t>Артёмовна</t>
  </si>
  <si>
    <t>Анна</t>
  </si>
  <si>
    <t>Щербакова</t>
  </si>
  <si>
    <t>Яновна</t>
  </si>
  <si>
    <t>Екатерина</t>
  </si>
  <si>
    <t>Матвеевна</t>
  </si>
  <si>
    <t xml:space="preserve">Кольцова  </t>
  </si>
  <si>
    <t>Анастасия</t>
  </si>
  <si>
    <t>Дамировна</t>
  </si>
  <si>
    <t xml:space="preserve">Тарасова  </t>
  </si>
  <si>
    <t>Дарья</t>
  </si>
  <si>
    <t>Дмитриевич</t>
  </si>
  <si>
    <t xml:space="preserve">Егоров  </t>
  </si>
  <si>
    <t>Тимофеевна</t>
  </si>
  <si>
    <t xml:space="preserve">Скворцова  </t>
  </si>
  <si>
    <t>Николь</t>
  </si>
  <si>
    <t>Богданович</t>
  </si>
  <si>
    <t xml:space="preserve">Березин  </t>
  </si>
  <si>
    <t>Глеб</t>
  </si>
  <si>
    <t>Демидовна</t>
  </si>
  <si>
    <t xml:space="preserve">Шилова  </t>
  </si>
  <si>
    <t>Варвара</t>
  </si>
  <si>
    <t>Олеговна</t>
  </si>
  <si>
    <t xml:space="preserve">Филатова  </t>
  </si>
  <si>
    <t>София</t>
  </si>
  <si>
    <t>Артёмович</t>
  </si>
  <si>
    <t xml:space="preserve">Трофимов  </t>
  </si>
  <si>
    <t xml:space="preserve">Бородин  </t>
  </si>
  <si>
    <t>Василий</t>
  </si>
  <si>
    <t>Константинович</t>
  </si>
  <si>
    <t xml:space="preserve">Авдеев  </t>
  </si>
  <si>
    <t>Савелий</t>
  </si>
  <si>
    <t>Кириллович</t>
  </si>
  <si>
    <t xml:space="preserve">Филимонов  </t>
  </si>
  <si>
    <t>Филипп</t>
  </si>
  <si>
    <t>Арсентьевна</t>
  </si>
  <si>
    <t xml:space="preserve">Тихонова  </t>
  </si>
  <si>
    <t xml:space="preserve">Завьялова  </t>
  </si>
  <si>
    <t>Алисия</t>
  </si>
  <si>
    <t>Максимович</t>
  </si>
  <si>
    <t xml:space="preserve">Клюев  </t>
  </si>
  <si>
    <t>Ильич</t>
  </si>
  <si>
    <t xml:space="preserve">Васильев  </t>
  </si>
  <si>
    <t>Артур</t>
  </si>
  <si>
    <t xml:space="preserve">Шмелев  </t>
  </si>
  <si>
    <t>Константин</t>
  </si>
  <si>
    <t>Платоновна</t>
  </si>
  <si>
    <t xml:space="preserve">Матвеева  </t>
  </si>
  <si>
    <t>Марьям</t>
  </si>
  <si>
    <t>Дмитриевна</t>
  </si>
  <si>
    <t xml:space="preserve">Кочеткова  </t>
  </si>
  <si>
    <t xml:space="preserve">Малышева  </t>
  </si>
  <si>
    <t>Василиса</t>
  </si>
  <si>
    <t xml:space="preserve">Кузнецов  </t>
  </si>
  <si>
    <t>Юрий</t>
  </si>
  <si>
    <t xml:space="preserve">Александров  </t>
  </si>
  <si>
    <t>Александрович</t>
  </si>
  <si>
    <t>Ксения</t>
  </si>
  <si>
    <t xml:space="preserve">Харитонова  </t>
  </si>
  <si>
    <t>Егоровна</t>
  </si>
  <si>
    <t>Марьяна</t>
  </si>
  <si>
    <t xml:space="preserve">Дроздова  </t>
  </si>
  <si>
    <t>Степановна</t>
  </si>
  <si>
    <t>Иванович</t>
  </si>
  <si>
    <t xml:space="preserve">Быков  </t>
  </si>
  <si>
    <t>Илья</t>
  </si>
  <si>
    <t xml:space="preserve">Тарасов  </t>
  </si>
  <si>
    <t>Артём</t>
  </si>
  <si>
    <t xml:space="preserve">Смирнова  </t>
  </si>
  <si>
    <t>Вероника</t>
  </si>
  <si>
    <t>Мироновна</t>
  </si>
  <si>
    <t xml:space="preserve">Корнилова  </t>
  </si>
  <si>
    <t>Арина</t>
  </si>
  <si>
    <t>Ивановна</t>
  </si>
  <si>
    <t xml:space="preserve">Макарова  </t>
  </si>
  <si>
    <t>Алиса</t>
  </si>
  <si>
    <t xml:space="preserve">Рубцова  </t>
  </si>
  <si>
    <t>Александра</t>
  </si>
  <si>
    <t>Семёновна</t>
  </si>
  <si>
    <t xml:space="preserve">Соболева  </t>
  </si>
  <si>
    <t>Ева</t>
  </si>
  <si>
    <t xml:space="preserve">Большаков  </t>
  </si>
  <si>
    <t>Богдан</t>
  </si>
  <si>
    <t>Владимировна</t>
  </si>
  <si>
    <t xml:space="preserve">Лаврентьева  </t>
  </si>
  <si>
    <t>Ольга</t>
  </si>
  <si>
    <t>Воробьева</t>
  </si>
  <si>
    <t>Тихоновна</t>
  </si>
  <si>
    <t>Захарова</t>
  </si>
  <si>
    <t>Марковна</t>
  </si>
  <si>
    <t xml:space="preserve">Трофимова  </t>
  </si>
  <si>
    <t>Софья</t>
  </si>
  <si>
    <t>IT</t>
  </si>
  <si>
    <t>Карпов</t>
  </si>
  <si>
    <t>Пепел</t>
  </si>
  <si>
    <t>Андреевич</t>
  </si>
  <si>
    <t>Data Science</t>
  </si>
  <si>
    <t>WEB dev</t>
  </si>
  <si>
    <t>Специалист по сетевому обеспечению</t>
  </si>
  <si>
    <t>Системный аналитик</t>
  </si>
  <si>
    <t>Программист</t>
  </si>
  <si>
    <t>Системный администратор</t>
  </si>
  <si>
    <t>Руководитель отдела информационных технологий</t>
  </si>
  <si>
    <t>Маркетинг</t>
  </si>
  <si>
    <t>SEO-специалист</t>
  </si>
  <si>
    <t>Копирайтер</t>
  </si>
  <si>
    <t>Продакт-менеджер</t>
  </si>
  <si>
    <t>Клининг</t>
  </si>
  <si>
    <t>Уборка</t>
  </si>
  <si>
    <t>Куб</t>
  </si>
  <si>
    <t>Лютик</t>
  </si>
  <si>
    <t>Кожан</t>
  </si>
  <si>
    <t>Виктория</t>
  </si>
  <si>
    <t>Даниилова</t>
  </si>
  <si>
    <t>М*</t>
  </si>
  <si>
    <t>К*</t>
  </si>
  <si>
    <t>Общий итог</t>
  </si>
  <si>
    <t>IT Итог</t>
  </si>
  <si>
    <t>Маркетинг Итог</t>
  </si>
  <si>
    <t>Клининг Итог</t>
  </si>
  <si>
    <t>IT Среднее</t>
  </si>
  <si>
    <t>Маркетинг Среднее</t>
  </si>
  <si>
    <t>Клининг Среднее</t>
  </si>
  <si>
    <t>Общее среднее</t>
  </si>
</sst>
</file>

<file path=xl/styles.xml><?xml version="1.0" encoding="utf-8"?>
<styleSheet xmlns="http://schemas.openxmlformats.org/spreadsheetml/2006/main">
  <numFmts count="1">
    <numFmt numFmtId="44" formatCode="_-* #,##0.00\ &quot;₽&quot;_-;\-* #,##0.00\ &quot;₽&quot;_-;_-* &quot;-&quot;??\ &quot;₽&quot;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zoomScaleNormal="100" workbookViewId="0">
      <selection sqref="A1:J50"/>
    </sheetView>
  </sheetViews>
  <sheetFormatPr defaultRowHeight="15"/>
  <cols>
    <col min="1" max="1" width="14.42578125" style="4" customWidth="1"/>
    <col min="2" max="2" width="11.7109375" style="4" customWidth="1"/>
    <col min="3" max="3" width="16.42578125" style="4" customWidth="1"/>
    <col min="4" max="4" width="9.140625" style="4"/>
    <col min="5" max="5" width="15.5703125" style="1" customWidth="1"/>
    <col min="6" max="6" width="20.42578125" style="1" customWidth="1"/>
    <col min="7" max="7" width="18.28515625" style="3" customWidth="1"/>
    <col min="8" max="8" width="23.5703125" style="4" customWidth="1"/>
    <col min="9" max="9" width="48.7109375" style="4" customWidth="1"/>
    <col min="10" max="10" width="9.140625" style="4"/>
    <col min="11" max="11" width="13.7109375" customWidth="1"/>
  </cols>
  <sheetData>
    <row r="1" spans="1:11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1">
      <c r="A2" s="4" t="s">
        <v>10</v>
      </c>
      <c r="B2" s="4" t="s">
        <v>11</v>
      </c>
      <c r="C2" s="4" t="s">
        <v>12</v>
      </c>
      <c r="D2" s="4" t="s">
        <v>13</v>
      </c>
      <c r="E2" s="1">
        <v>30722</v>
      </c>
      <c r="F2" s="1">
        <v>44482</v>
      </c>
      <c r="G2" s="5">
        <f ca="1">INT(YEAR(TODAY()))-INT(YEAR(E2))</f>
        <v>38</v>
      </c>
      <c r="H2" s="4" t="s">
        <v>133</v>
      </c>
      <c r="I2" s="4" t="s">
        <v>141</v>
      </c>
      <c r="J2" s="4">
        <v>20000</v>
      </c>
    </row>
    <row r="3" spans="1:11">
      <c r="A3" s="4" t="s">
        <v>150</v>
      </c>
      <c r="B3" s="4" t="s">
        <v>14</v>
      </c>
      <c r="C3" s="4" t="s">
        <v>15</v>
      </c>
      <c r="D3" s="4" t="s">
        <v>16</v>
      </c>
      <c r="E3" s="2">
        <v>33057</v>
      </c>
      <c r="F3" s="1">
        <v>44483</v>
      </c>
      <c r="G3" s="5">
        <f t="shared" ref="G3:G50" ca="1" si="0">INT(YEAR(TODAY()))-INT(YEAR(E3))</f>
        <v>32</v>
      </c>
      <c r="H3" s="4" t="s">
        <v>133</v>
      </c>
      <c r="I3" s="4" t="s">
        <v>139</v>
      </c>
      <c r="J3" s="4">
        <v>20000</v>
      </c>
    </row>
    <row r="4" spans="1:11">
      <c r="A4" s="4" t="s">
        <v>17</v>
      </c>
      <c r="B4" s="4" t="s">
        <v>18</v>
      </c>
      <c r="C4" s="4" t="s">
        <v>19</v>
      </c>
      <c r="D4" s="4" t="s">
        <v>13</v>
      </c>
      <c r="E4" s="1">
        <v>31518</v>
      </c>
      <c r="F4" s="1">
        <v>44484</v>
      </c>
      <c r="G4" s="5">
        <f t="shared" ca="1" si="0"/>
        <v>36</v>
      </c>
      <c r="H4" s="4" t="s">
        <v>133</v>
      </c>
      <c r="I4" s="4" t="s">
        <v>140</v>
      </c>
      <c r="J4" s="4">
        <v>20000</v>
      </c>
    </row>
    <row r="5" spans="1:11">
      <c r="A5" s="4" t="s">
        <v>21</v>
      </c>
      <c r="B5" s="4" t="s">
        <v>22</v>
      </c>
      <c r="C5" s="4" t="s">
        <v>20</v>
      </c>
      <c r="D5" s="4" t="s">
        <v>13</v>
      </c>
      <c r="E5" s="1">
        <v>31434</v>
      </c>
      <c r="F5" s="1">
        <v>44485</v>
      </c>
      <c r="G5" s="5">
        <f t="shared" ca="1" si="0"/>
        <v>36</v>
      </c>
      <c r="H5" s="4" t="s">
        <v>144</v>
      </c>
      <c r="I5" s="4" t="s">
        <v>145</v>
      </c>
      <c r="J5" s="4">
        <v>70034</v>
      </c>
    </row>
    <row r="6" spans="1:11">
      <c r="A6" s="4" t="s">
        <v>24</v>
      </c>
      <c r="B6" s="4" t="s">
        <v>25</v>
      </c>
      <c r="C6" s="4" t="s">
        <v>23</v>
      </c>
      <c r="D6" s="4" t="s">
        <v>13</v>
      </c>
      <c r="E6" s="1">
        <v>33806</v>
      </c>
      <c r="F6" s="1">
        <v>44486</v>
      </c>
      <c r="G6" s="5">
        <f t="shared" ca="1" si="0"/>
        <v>30</v>
      </c>
      <c r="H6" s="4" t="s">
        <v>133</v>
      </c>
      <c r="I6" s="4" t="s">
        <v>137</v>
      </c>
      <c r="J6" s="4">
        <v>70034</v>
      </c>
    </row>
    <row r="7" spans="1:11">
      <c r="A7" s="4" t="s">
        <v>150</v>
      </c>
      <c r="B7" s="4" t="s">
        <v>26</v>
      </c>
      <c r="C7" s="4" t="s">
        <v>27</v>
      </c>
      <c r="D7" s="4" t="s">
        <v>16</v>
      </c>
      <c r="E7" s="1">
        <v>31216</v>
      </c>
      <c r="F7" s="1">
        <v>44487</v>
      </c>
      <c r="G7" s="5">
        <f t="shared" ca="1" si="0"/>
        <v>37</v>
      </c>
      <c r="H7" s="4" t="s">
        <v>144</v>
      </c>
      <c r="I7" s="4" t="s">
        <v>147</v>
      </c>
      <c r="J7" s="4">
        <v>20000</v>
      </c>
    </row>
    <row r="8" spans="1:11">
      <c r="A8" s="4" t="s">
        <v>30</v>
      </c>
      <c r="B8" s="4" t="s">
        <v>28</v>
      </c>
      <c r="C8" s="4" t="s">
        <v>29</v>
      </c>
      <c r="D8" s="4" t="s">
        <v>16</v>
      </c>
      <c r="E8" s="1">
        <v>33856</v>
      </c>
      <c r="F8" s="1">
        <v>44488</v>
      </c>
      <c r="G8" s="5">
        <f t="shared" ca="1" si="0"/>
        <v>30</v>
      </c>
      <c r="H8" s="4" t="s">
        <v>144</v>
      </c>
      <c r="I8" s="4" t="s">
        <v>147</v>
      </c>
      <c r="J8" s="4">
        <v>70034</v>
      </c>
    </row>
    <row r="9" spans="1:11">
      <c r="A9" s="4" t="s">
        <v>134</v>
      </c>
      <c r="B9" s="4" t="s">
        <v>135</v>
      </c>
      <c r="C9" s="4" t="s">
        <v>136</v>
      </c>
      <c r="D9" s="4" t="s">
        <v>16</v>
      </c>
      <c r="E9" s="1">
        <v>30198</v>
      </c>
      <c r="F9" s="1">
        <v>44489</v>
      </c>
      <c r="G9" s="5">
        <f t="shared" ca="1" si="0"/>
        <v>40</v>
      </c>
      <c r="H9" s="4" t="s">
        <v>133</v>
      </c>
      <c r="I9" s="4" t="s">
        <v>140</v>
      </c>
      <c r="J9" s="4">
        <v>21310</v>
      </c>
      <c r="K9" s="6"/>
    </row>
    <row r="10" spans="1:11">
      <c r="A10" s="4" t="s">
        <v>33</v>
      </c>
      <c r="B10" s="4" t="s">
        <v>32</v>
      </c>
      <c r="C10" s="4" t="s">
        <v>34</v>
      </c>
      <c r="D10" s="4" t="s">
        <v>16</v>
      </c>
      <c r="E10" s="1">
        <v>31887</v>
      </c>
      <c r="F10" s="1">
        <v>44490</v>
      </c>
      <c r="G10" s="5">
        <f t="shared" ca="1" si="0"/>
        <v>35</v>
      </c>
      <c r="H10" s="4" t="s">
        <v>133</v>
      </c>
      <c r="I10" s="4" t="s">
        <v>137</v>
      </c>
      <c r="J10" s="4">
        <v>70034</v>
      </c>
    </row>
    <row r="11" spans="1:11">
      <c r="A11" s="4" t="s">
        <v>37</v>
      </c>
      <c r="B11" s="4" t="s">
        <v>36</v>
      </c>
      <c r="C11" s="4" t="s">
        <v>35</v>
      </c>
      <c r="D11" s="4" t="s">
        <v>16</v>
      </c>
      <c r="E11" s="1">
        <v>28013</v>
      </c>
      <c r="F11" s="1">
        <v>44491</v>
      </c>
      <c r="G11" s="5">
        <f t="shared" ca="1" si="0"/>
        <v>46</v>
      </c>
      <c r="H11" s="4" t="s">
        <v>148</v>
      </c>
      <c r="I11" s="4" t="s">
        <v>149</v>
      </c>
      <c r="J11" s="4">
        <v>70034</v>
      </c>
    </row>
    <row r="12" spans="1:11">
      <c r="A12" s="4" t="s">
        <v>40</v>
      </c>
      <c r="B12" s="4" t="s">
        <v>39</v>
      </c>
      <c r="C12" s="4" t="s">
        <v>38</v>
      </c>
      <c r="D12" s="4" t="s">
        <v>13</v>
      </c>
      <c r="E12" s="1">
        <v>32646</v>
      </c>
      <c r="F12" s="1">
        <v>44492</v>
      </c>
      <c r="G12" s="5">
        <f t="shared" ca="1" si="0"/>
        <v>33</v>
      </c>
      <c r="H12" s="4" t="s">
        <v>133</v>
      </c>
      <c r="I12" s="4" t="s">
        <v>140</v>
      </c>
      <c r="J12" s="4">
        <v>100000</v>
      </c>
    </row>
    <row r="13" spans="1:11">
      <c r="A13" s="4" t="s">
        <v>43</v>
      </c>
      <c r="B13" s="4" t="s">
        <v>42</v>
      </c>
      <c r="C13" s="4" t="s">
        <v>41</v>
      </c>
      <c r="D13" s="4" t="s">
        <v>13</v>
      </c>
      <c r="E13" s="1">
        <v>29013</v>
      </c>
      <c r="F13" s="1">
        <v>44493</v>
      </c>
      <c r="G13" s="5">
        <f t="shared" ca="1" si="0"/>
        <v>43</v>
      </c>
      <c r="H13" s="4" t="s">
        <v>148</v>
      </c>
      <c r="I13" s="4" t="s">
        <v>149</v>
      </c>
      <c r="J13" s="4">
        <v>70034</v>
      </c>
    </row>
    <row r="14" spans="1:11">
      <c r="A14" s="4" t="s">
        <v>151</v>
      </c>
      <c r="B14" s="4" t="s">
        <v>45</v>
      </c>
      <c r="C14" s="4" t="s">
        <v>44</v>
      </c>
      <c r="D14" s="4" t="s">
        <v>13</v>
      </c>
      <c r="E14" s="1">
        <v>27847</v>
      </c>
      <c r="F14" s="1">
        <v>44494</v>
      </c>
      <c r="G14" s="5">
        <f t="shared" ca="1" si="0"/>
        <v>46</v>
      </c>
      <c r="H14" s="4" t="s">
        <v>133</v>
      </c>
      <c r="I14" s="4" t="s">
        <v>137</v>
      </c>
      <c r="J14" s="4">
        <v>100000</v>
      </c>
    </row>
    <row r="15" spans="1:11">
      <c r="A15" s="4" t="s">
        <v>47</v>
      </c>
      <c r="B15" s="4" t="s">
        <v>48</v>
      </c>
      <c r="C15" s="4" t="s">
        <v>46</v>
      </c>
      <c r="D15" s="4" t="s">
        <v>13</v>
      </c>
      <c r="E15" s="1">
        <v>33082</v>
      </c>
      <c r="F15" s="1">
        <v>44495</v>
      </c>
      <c r="G15" s="5">
        <f t="shared" ca="1" si="0"/>
        <v>32</v>
      </c>
      <c r="H15" s="4" t="s">
        <v>133</v>
      </c>
      <c r="I15" s="4" t="s">
        <v>140</v>
      </c>
      <c r="J15" s="4">
        <v>31000</v>
      </c>
    </row>
    <row r="16" spans="1:11">
      <c r="A16" s="4" t="s">
        <v>50</v>
      </c>
      <c r="B16" s="4" t="s">
        <v>51</v>
      </c>
      <c r="C16" s="4" t="s">
        <v>49</v>
      </c>
      <c r="D16" s="4" t="s">
        <v>13</v>
      </c>
      <c r="E16" s="1">
        <v>28967</v>
      </c>
      <c r="F16" s="1">
        <v>44496</v>
      </c>
      <c r="G16" s="5">
        <f t="shared" ca="1" si="0"/>
        <v>43</v>
      </c>
      <c r="H16" s="4" t="s">
        <v>133</v>
      </c>
      <c r="I16" s="4" t="s">
        <v>137</v>
      </c>
      <c r="J16" s="4">
        <v>100000</v>
      </c>
    </row>
    <row r="17" spans="1:10">
      <c r="A17" s="4" t="s">
        <v>53</v>
      </c>
      <c r="B17" s="4" t="s">
        <v>14</v>
      </c>
      <c r="C17" s="4" t="s">
        <v>52</v>
      </c>
      <c r="D17" s="4" t="s">
        <v>16</v>
      </c>
      <c r="E17" s="1">
        <v>30813</v>
      </c>
      <c r="F17" s="1">
        <v>44497</v>
      </c>
      <c r="G17" s="5">
        <f t="shared" ca="1" si="0"/>
        <v>38</v>
      </c>
      <c r="H17" s="4" t="s">
        <v>133</v>
      </c>
      <c r="I17" s="4" t="s">
        <v>139</v>
      </c>
      <c r="J17" s="4">
        <v>20000</v>
      </c>
    </row>
    <row r="18" spans="1:10">
      <c r="A18" s="4" t="s">
        <v>55</v>
      </c>
      <c r="B18" s="4" t="s">
        <v>56</v>
      </c>
      <c r="C18" s="4" t="s">
        <v>54</v>
      </c>
      <c r="D18" s="4" t="s">
        <v>13</v>
      </c>
      <c r="E18" s="1">
        <v>31684</v>
      </c>
      <c r="F18" s="1">
        <v>44498</v>
      </c>
      <c r="G18" s="5">
        <f t="shared" ca="1" si="0"/>
        <v>36</v>
      </c>
      <c r="H18" s="4" t="s">
        <v>144</v>
      </c>
      <c r="I18" s="4" t="s">
        <v>145</v>
      </c>
      <c r="J18" s="4">
        <v>20000</v>
      </c>
    </row>
    <row r="19" spans="1:10">
      <c r="A19" s="4" t="s">
        <v>58</v>
      </c>
      <c r="B19" s="4" t="s">
        <v>59</v>
      </c>
      <c r="C19" s="4" t="s">
        <v>57</v>
      </c>
      <c r="D19" s="4" t="s">
        <v>16</v>
      </c>
      <c r="E19" s="1">
        <v>30716</v>
      </c>
      <c r="F19" s="1">
        <v>44499</v>
      </c>
      <c r="G19" s="5">
        <f t="shared" ca="1" si="0"/>
        <v>38</v>
      </c>
      <c r="H19" s="4" t="s">
        <v>133</v>
      </c>
      <c r="I19" s="4" t="s">
        <v>137</v>
      </c>
      <c r="J19" s="4">
        <v>20000</v>
      </c>
    </row>
    <row r="20" spans="1:10">
      <c r="A20" s="4" t="s">
        <v>61</v>
      </c>
      <c r="B20" s="4" t="s">
        <v>62</v>
      </c>
      <c r="C20" s="4" t="s">
        <v>60</v>
      </c>
      <c r="D20" s="4" t="s">
        <v>13</v>
      </c>
      <c r="E20" s="1">
        <v>28208</v>
      </c>
      <c r="F20" s="1">
        <v>44500</v>
      </c>
      <c r="G20" s="5">
        <f t="shared" ca="1" si="0"/>
        <v>45</v>
      </c>
      <c r="H20" s="4" t="s">
        <v>133</v>
      </c>
      <c r="I20" s="4" t="s">
        <v>139</v>
      </c>
      <c r="J20" s="4">
        <v>31000</v>
      </c>
    </row>
    <row r="21" spans="1:10">
      <c r="A21" s="4" t="s">
        <v>64</v>
      </c>
      <c r="B21" s="4" t="s">
        <v>65</v>
      </c>
      <c r="C21" s="4" t="s">
        <v>63</v>
      </c>
      <c r="D21" s="4" t="s">
        <v>13</v>
      </c>
      <c r="E21" s="1">
        <v>30065</v>
      </c>
      <c r="F21" s="1">
        <v>44501</v>
      </c>
      <c r="G21" s="5">
        <f t="shared" ca="1" si="0"/>
        <v>40</v>
      </c>
      <c r="H21" s="4" t="s">
        <v>144</v>
      </c>
      <c r="I21" s="4" t="s">
        <v>146</v>
      </c>
      <c r="J21" s="4">
        <v>31000</v>
      </c>
    </row>
    <row r="22" spans="1:10">
      <c r="A22" s="4" t="s">
        <v>67</v>
      </c>
      <c r="B22" s="4" t="s">
        <v>32</v>
      </c>
      <c r="C22" s="4" t="s">
        <v>66</v>
      </c>
      <c r="D22" s="4" t="s">
        <v>16</v>
      </c>
      <c r="E22" s="1">
        <v>29640</v>
      </c>
      <c r="F22" s="1">
        <v>44502</v>
      </c>
      <c r="G22" s="5">
        <f t="shared" ca="1" si="0"/>
        <v>41</v>
      </c>
      <c r="H22" s="4" t="s">
        <v>144</v>
      </c>
      <c r="I22" s="4" t="s">
        <v>145</v>
      </c>
      <c r="J22" s="4">
        <v>20000</v>
      </c>
    </row>
    <row r="23" spans="1:10">
      <c r="A23" s="4" t="s">
        <v>68</v>
      </c>
      <c r="B23" s="4" t="s">
        <v>69</v>
      </c>
      <c r="C23" s="4" t="s">
        <v>34</v>
      </c>
      <c r="D23" s="4" t="s">
        <v>16</v>
      </c>
      <c r="E23" s="1">
        <v>27489</v>
      </c>
      <c r="F23" s="1">
        <v>44503</v>
      </c>
      <c r="G23" s="5">
        <f t="shared" ca="1" si="0"/>
        <v>47</v>
      </c>
      <c r="H23" s="4" t="s">
        <v>144</v>
      </c>
      <c r="I23" s="4" t="s">
        <v>146</v>
      </c>
      <c r="J23" s="4">
        <v>20000</v>
      </c>
    </row>
    <row r="24" spans="1:10">
      <c r="A24" s="4" t="s">
        <v>71</v>
      </c>
      <c r="B24" s="4" t="s">
        <v>72</v>
      </c>
      <c r="C24" s="4" t="s">
        <v>70</v>
      </c>
      <c r="D24" s="4" t="s">
        <v>16</v>
      </c>
      <c r="E24" s="1">
        <v>32912</v>
      </c>
      <c r="F24" s="1">
        <v>44504</v>
      </c>
      <c r="G24" s="5">
        <f t="shared" ca="1" si="0"/>
        <v>32</v>
      </c>
      <c r="H24" s="4" t="s">
        <v>148</v>
      </c>
      <c r="I24" s="4" t="s">
        <v>149</v>
      </c>
      <c r="J24" s="4">
        <v>20000</v>
      </c>
    </row>
    <row r="25" spans="1:10">
      <c r="A25" s="4" t="s">
        <v>74</v>
      </c>
      <c r="B25" s="4" t="s">
        <v>75</v>
      </c>
      <c r="C25" s="4" t="s">
        <v>73</v>
      </c>
      <c r="D25" s="4" t="s">
        <v>16</v>
      </c>
      <c r="E25" s="1">
        <v>29576</v>
      </c>
      <c r="F25" s="1">
        <v>44505</v>
      </c>
      <c r="G25" s="5">
        <f t="shared" ca="1" si="0"/>
        <v>42</v>
      </c>
      <c r="H25" s="4" t="s">
        <v>133</v>
      </c>
      <c r="I25" s="4" t="s">
        <v>138</v>
      </c>
      <c r="J25" s="4">
        <v>31000</v>
      </c>
    </row>
    <row r="26" spans="1:10">
      <c r="A26" s="4" t="s">
        <v>77</v>
      </c>
      <c r="B26" s="4" t="s">
        <v>65</v>
      </c>
      <c r="C26" s="4" t="s">
        <v>76</v>
      </c>
      <c r="D26" s="4" t="s">
        <v>13</v>
      </c>
      <c r="E26" s="1">
        <v>28784</v>
      </c>
      <c r="F26" s="1">
        <v>44506</v>
      </c>
      <c r="G26" s="5">
        <f t="shared" ca="1" si="0"/>
        <v>44</v>
      </c>
      <c r="H26" s="4" t="s">
        <v>133</v>
      </c>
      <c r="I26" s="4" t="s">
        <v>139</v>
      </c>
      <c r="J26" s="4">
        <v>100000</v>
      </c>
    </row>
    <row r="27" spans="1:10">
      <c r="A27" s="4" t="s">
        <v>78</v>
      </c>
      <c r="B27" s="4" t="s">
        <v>79</v>
      </c>
      <c r="C27" s="4" t="s">
        <v>41</v>
      </c>
      <c r="D27" s="4" t="s">
        <v>13</v>
      </c>
      <c r="E27" s="1">
        <v>28136</v>
      </c>
      <c r="F27" s="1">
        <v>44507</v>
      </c>
      <c r="G27" s="5">
        <f t="shared" ca="1" si="0"/>
        <v>45</v>
      </c>
      <c r="H27" s="4" t="s">
        <v>148</v>
      </c>
      <c r="I27" s="4" t="s">
        <v>149</v>
      </c>
      <c r="J27" s="4">
        <v>40000</v>
      </c>
    </row>
    <row r="28" spans="1:10">
      <c r="A28" s="4" t="s">
        <v>81</v>
      </c>
      <c r="B28" s="4" t="s">
        <v>32</v>
      </c>
      <c r="C28" s="4" t="s">
        <v>80</v>
      </c>
      <c r="D28" s="4" t="s">
        <v>16</v>
      </c>
      <c r="E28" s="1">
        <v>30702</v>
      </c>
      <c r="F28" s="1">
        <v>44508</v>
      </c>
      <c r="G28" s="5">
        <f t="shared" ca="1" si="0"/>
        <v>38</v>
      </c>
      <c r="H28" s="4" t="s">
        <v>133</v>
      </c>
      <c r="I28" s="4" t="s">
        <v>138</v>
      </c>
      <c r="J28" s="4">
        <v>100000</v>
      </c>
    </row>
    <row r="29" spans="1:10">
      <c r="A29" s="4" t="s">
        <v>83</v>
      </c>
      <c r="B29" s="4" t="s">
        <v>84</v>
      </c>
      <c r="C29" s="4" t="s">
        <v>82</v>
      </c>
      <c r="D29" s="4" t="s">
        <v>16</v>
      </c>
      <c r="E29" s="1">
        <v>28388</v>
      </c>
      <c r="F29" s="1">
        <v>44509</v>
      </c>
      <c r="G29" s="5">
        <f t="shared" ca="1" si="0"/>
        <v>45</v>
      </c>
      <c r="H29" s="4" t="s">
        <v>133</v>
      </c>
      <c r="I29" s="4" t="s">
        <v>139</v>
      </c>
      <c r="J29" s="4">
        <v>20000</v>
      </c>
    </row>
    <row r="30" spans="1:10">
      <c r="A30" s="4" t="s">
        <v>85</v>
      </c>
      <c r="B30" s="4" t="s">
        <v>86</v>
      </c>
      <c r="C30" s="4" t="s">
        <v>73</v>
      </c>
      <c r="D30" s="4" t="s">
        <v>16</v>
      </c>
      <c r="E30" s="1">
        <v>33174</v>
      </c>
      <c r="F30" s="1">
        <v>44510</v>
      </c>
      <c r="G30" s="5">
        <f t="shared" ca="1" si="0"/>
        <v>32</v>
      </c>
      <c r="H30" s="4" t="s">
        <v>133</v>
      </c>
      <c r="I30" s="4" t="s">
        <v>138</v>
      </c>
      <c r="J30" s="4">
        <v>21310</v>
      </c>
    </row>
    <row r="31" spans="1:10">
      <c r="A31" s="4" t="s">
        <v>88</v>
      </c>
      <c r="B31" s="4" t="s">
        <v>89</v>
      </c>
      <c r="C31" s="4" t="s">
        <v>87</v>
      </c>
      <c r="D31" s="4" t="s">
        <v>13</v>
      </c>
      <c r="E31" s="1">
        <v>31904</v>
      </c>
      <c r="F31" s="1">
        <v>44511</v>
      </c>
      <c r="G31" s="5">
        <f t="shared" ca="1" si="0"/>
        <v>35</v>
      </c>
      <c r="H31" s="4" t="s">
        <v>133</v>
      </c>
      <c r="I31" s="4" t="s">
        <v>142</v>
      </c>
      <c r="J31" s="4">
        <v>31000</v>
      </c>
    </row>
    <row r="32" spans="1:10">
      <c r="A32" s="4" t="s">
        <v>47</v>
      </c>
      <c r="B32" s="4" t="s">
        <v>62</v>
      </c>
      <c r="C32" s="4" t="s">
        <v>20</v>
      </c>
      <c r="D32" s="4" t="s">
        <v>13</v>
      </c>
      <c r="E32" s="1">
        <v>29561</v>
      </c>
      <c r="F32" s="1">
        <v>44512</v>
      </c>
      <c r="G32" s="5">
        <f t="shared" ca="1" si="0"/>
        <v>42</v>
      </c>
      <c r="H32" s="4" t="s">
        <v>133</v>
      </c>
      <c r="I32" s="4" t="s">
        <v>138</v>
      </c>
      <c r="J32" s="4">
        <v>100000</v>
      </c>
    </row>
    <row r="33" spans="1:10">
      <c r="A33" s="4" t="s">
        <v>91</v>
      </c>
      <c r="B33" s="4" t="s">
        <v>18</v>
      </c>
      <c r="C33" s="4" t="s">
        <v>90</v>
      </c>
      <c r="D33" s="4" t="s">
        <v>13</v>
      </c>
      <c r="E33" s="1">
        <v>33214</v>
      </c>
      <c r="F33" s="1">
        <v>44513</v>
      </c>
      <c r="G33" s="5">
        <f t="shared" ca="1" si="0"/>
        <v>32</v>
      </c>
      <c r="H33" s="4" t="s">
        <v>144</v>
      </c>
      <c r="I33" s="4" t="s">
        <v>146</v>
      </c>
      <c r="J33" s="4">
        <v>100000</v>
      </c>
    </row>
    <row r="34" spans="1:10">
      <c r="A34" s="4" t="s">
        <v>92</v>
      </c>
      <c r="B34" s="4" t="s">
        <v>93</v>
      </c>
      <c r="C34" s="4" t="s">
        <v>20</v>
      </c>
      <c r="D34" s="4" t="s">
        <v>13</v>
      </c>
      <c r="E34" s="1">
        <v>28186</v>
      </c>
      <c r="F34" s="1">
        <v>44514</v>
      </c>
      <c r="G34" s="5">
        <f t="shared" ca="1" si="0"/>
        <v>45</v>
      </c>
      <c r="H34" s="4" t="s">
        <v>133</v>
      </c>
      <c r="I34" s="4" t="s">
        <v>138</v>
      </c>
      <c r="J34" s="4">
        <v>31000</v>
      </c>
    </row>
    <row r="35" spans="1:10">
      <c r="A35" s="4" t="s">
        <v>94</v>
      </c>
      <c r="B35" s="4" t="s">
        <v>31</v>
      </c>
      <c r="C35" s="4" t="s">
        <v>66</v>
      </c>
      <c r="D35" s="4" t="s">
        <v>16</v>
      </c>
      <c r="E35" s="1">
        <v>29857</v>
      </c>
      <c r="F35" s="1">
        <v>44515</v>
      </c>
      <c r="G35" s="5">
        <f t="shared" ca="1" si="0"/>
        <v>41</v>
      </c>
      <c r="H35" s="4" t="s">
        <v>133</v>
      </c>
      <c r="I35" s="4" t="s">
        <v>137</v>
      </c>
      <c r="J35" s="4">
        <v>31000</v>
      </c>
    </row>
    <row r="36" spans="1:10">
      <c r="A36" s="4" t="s">
        <v>96</v>
      </c>
      <c r="B36" s="4" t="s">
        <v>95</v>
      </c>
      <c r="C36" s="4" t="s">
        <v>97</v>
      </c>
      <c r="D36" s="4" t="s">
        <v>16</v>
      </c>
      <c r="E36" s="1">
        <v>28780</v>
      </c>
      <c r="F36" s="1">
        <v>44516</v>
      </c>
      <c r="G36" s="5">
        <f t="shared" ca="1" si="0"/>
        <v>44</v>
      </c>
      <c r="H36" s="4" t="s">
        <v>133</v>
      </c>
      <c r="I36" s="4" t="s">
        <v>137</v>
      </c>
      <c r="J36" s="4">
        <v>20000</v>
      </c>
    </row>
    <row r="37" spans="1:10">
      <c r="A37" s="4" t="s">
        <v>99</v>
      </c>
      <c r="B37" s="4" t="s">
        <v>98</v>
      </c>
      <c r="C37" s="4" t="s">
        <v>100</v>
      </c>
      <c r="D37" s="4" t="s">
        <v>13</v>
      </c>
      <c r="E37" s="1">
        <v>33678</v>
      </c>
      <c r="F37" s="1">
        <v>44517</v>
      </c>
      <c r="G37" s="5">
        <f t="shared" ca="1" si="0"/>
        <v>30</v>
      </c>
      <c r="H37" s="4" t="s">
        <v>133</v>
      </c>
      <c r="I37" s="4" t="s">
        <v>138</v>
      </c>
      <c r="J37" s="4">
        <v>20000</v>
      </c>
    </row>
    <row r="38" spans="1:10">
      <c r="A38" s="4" t="s">
        <v>102</v>
      </c>
      <c r="B38" s="4" t="s">
        <v>101</v>
      </c>
      <c r="C38" s="4" t="s">
        <v>103</v>
      </c>
      <c r="D38" s="4" t="s">
        <v>13</v>
      </c>
      <c r="E38" s="1">
        <v>30463</v>
      </c>
      <c r="F38" s="1">
        <v>44518</v>
      </c>
      <c r="G38" s="5">
        <f t="shared" ca="1" si="0"/>
        <v>39</v>
      </c>
      <c r="H38" s="4" t="s">
        <v>133</v>
      </c>
      <c r="I38" s="4" t="s">
        <v>139</v>
      </c>
      <c r="J38" s="4">
        <v>20000</v>
      </c>
    </row>
    <row r="39" spans="1:10">
      <c r="A39" s="4" t="s">
        <v>105</v>
      </c>
      <c r="B39" s="4" t="s">
        <v>106</v>
      </c>
      <c r="C39" s="4" t="s">
        <v>104</v>
      </c>
      <c r="D39" s="4" t="s">
        <v>16</v>
      </c>
      <c r="E39" s="1">
        <v>32382</v>
      </c>
      <c r="F39" s="1">
        <v>44519</v>
      </c>
      <c r="G39" s="5">
        <f t="shared" ca="1" si="0"/>
        <v>34</v>
      </c>
      <c r="H39" s="4" t="s">
        <v>148</v>
      </c>
      <c r="I39" s="4" t="s">
        <v>149</v>
      </c>
      <c r="J39" s="4">
        <v>70034</v>
      </c>
    </row>
    <row r="40" spans="1:10">
      <c r="A40" s="4" t="s">
        <v>107</v>
      </c>
      <c r="B40" s="4" t="s">
        <v>108</v>
      </c>
      <c r="C40" s="4" t="s">
        <v>66</v>
      </c>
      <c r="D40" s="4" t="s">
        <v>16</v>
      </c>
      <c r="E40" s="1">
        <v>29547</v>
      </c>
      <c r="F40" s="1">
        <v>44520</v>
      </c>
      <c r="G40" s="5">
        <f t="shared" ca="1" si="0"/>
        <v>42</v>
      </c>
      <c r="H40" s="4" t="s">
        <v>133</v>
      </c>
      <c r="I40" s="4" t="s">
        <v>138</v>
      </c>
      <c r="J40" s="4">
        <v>100000</v>
      </c>
    </row>
    <row r="41" spans="1:10">
      <c r="A41" s="4" t="s">
        <v>109</v>
      </c>
      <c r="B41" s="4" t="s">
        <v>110</v>
      </c>
      <c r="C41" s="4" t="s">
        <v>20</v>
      </c>
      <c r="D41" s="4" t="s">
        <v>13</v>
      </c>
      <c r="E41" s="1">
        <v>28277</v>
      </c>
      <c r="F41" s="1">
        <v>44521</v>
      </c>
      <c r="G41" s="5">
        <f t="shared" ca="1" si="0"/>
        <v>45</v>
      </c>
      <c r="H41" s="4" t="s">
        <v>133</v>
      </c>
      <c r="I41" s="4" t="s">
        <v>137</v>
      </c>
      <c r="J41" s="4">
        <v>80000</v>
      </c>
    </row>
    <row r="42" spans="1:10">
      <c r="A42" s="4" t="s">
        <v>112</v>
      </c>
      <c r="B42" s="4" t="s">
        <v>113</v>
      </c>
      <c r="C42" s="4" t="s">
        <v>111</v>
      </c>
      <c r="D42" s="4" t="s">
        <v>13</v>
      </c>
      <c r="E42" s="1">
        <v>32297</v>
      </c>
      <c r="F42" s="1">
        <v>44522</v>
      </c>
      <c r="G42" s="5">
        <f t="shared" ca="1" si="0"/>
        <v>34</v>
      </c>
      <c r="H42" s="4" t="s">
        <v>133</v>
      </c>
      <c r="I42" s="4" t="s">
        <v>137</v>
      </c>
      <c r="J42" s="4">
        <v>80000</v>
      </c>
    </row>
    <row r="43" spans="1:10">
      <c r="A43" s="4" t="s">
        <v>115</v>
      </c>
      <c r="B43" s="4" t="s">
        <v>116</v>
      </c>
      <c r="C43" s="4" t="s">
        <v>114</v>
      </c>
      <c r="D43" s="4" t="s">
        <v>13</v>
      </c>
      <c r="E43" s="1">
        <v>33771</v>
      </c>
      <c r="F43" s="1">
        <v>44523</v>
      </c>
      <c r="G43" s="5">
        <f t="shared" ca="1" si="0"/>
        <v>30</v>
      </c>
      <c r="H43" s="4" t="s">
        <v>144</v>
      </c>
      <c r="I43" s="4" t="s">
        <v>145</v>
      </c>
      <c r="J43" s="4">
        <v>70034</v>
      </c>
    </row>
    <row r="44" spans="1:10">
      <c r="A44" s="4" t="s">
        <v>117</v>
      </c>
      <c r="B44" s="4" t="s">
        <v>118</v>
      </c>
      <c r="C44" s="4" t="s">
        <v>76</v>
      </c>
      <c r="D44" s="4" t="s">
        <v>13</v>
      </c>
      <c r="E44" s="1">
        <v>29038</v>
      </c>
      <c r="F44" s="1">
        <v>44524</v>
      </c>
      <c r="G44" s="5">
        <f t="shared" ca="1" si="0"/>
        <v>43</v>
      </c>
      <c r="H44" s="4" t="s">
        <v>133</v>
      </c>
      <c r="I44" s="4" t="s">
        <v>138</v>
      </c>
      <c r="J44" s="4">
        <v>100000</v>
      </c>
    </row>
    <row r="45" spans="1:10">
      <c r="A45" s="4" t="s">
        <v>120</v>
      </c>
      <c r="B45" s="4" t="s">
        <v>121</v>
      </c>
      <c r="C45" s="4" t="s">
        <v>119</v>
      </c>
      <c r="D45" s="4" t="s">
        <v>13</v>
      </c>
      <c r="E45" s="1">
        <v>27732</v>
      </c>
      <c r="F45" s="1">
        <v>44525</v>
      </c>
      <c r="G45" s="5">
        <f t="shared" ca="1" si="0"/>
        <v>47</v>
      </c>
      <c r="H45" s="4" t="s">
        <v>133</v>
      </c>
      <c r="I45" s="4" t="s">
        <v>137</v>
      </c>
      <c r="J45" s="4">
        <v>100000</v>
      </c>
    </row>
    <row r="46" spans="1:10">
      <c r="A46" s="4" t="s">
        <v>122</v>
      </c>
      <c r="B46" s="4" t="s">
        <v>123</v>
      </c>
      <c r="C46" s="4" t="s">
        <v>57</v>
      </c>
      <c r="D46" s="4" t="s">
        <v>16</v>
      </c>
      <c r="E46" s="1">
        <v>29808</v>
      </c>
      <c r="F46" s="1">
        <v>44526</v>
      </c>
      <c r="G46" s="5">
        <f t="shared" ca="1" si="0"/>
        <v>41</v>
      </c>
      <c r="H46" s="4" t="s">
        <v>133</v>
      </c>
      <c r="I46" s="4" t="s">
        <v>139</v>
      </c>
      <c r="J46" s="4">
        <v>100000</v>
      </c>
    </row>
    <row r="47" spans="1:10">
      <c r="A47" s="4" t="s">
        <v>125</v>
      </c>
      <c r="B47" s="4" t="s">
        <v>126</v>
      </c>
      <c r="C47" s="4" t="s">
        <v>124</v>
      </c>
      <c r="D47" s="4" t="s">
        <v>13</v>
      </c>
      <c r="E47" s="1">
        <v>29109</v>
      </c>
      <c r="F47" s="1">
        <v>44527</v>
      </c>
      <c r="G47" s="5">
        <f t="shared" ca="1" si="0"/>
        <v>43</v>
      </c>
      <c r="H47" s="4" t="s">
        <v>133</v>
      </c>
      <c r="I47" s="4" t="s">
        <v>137</v>
      </c>
      <c r="J47" s="4">
        <v>211000</v>
      </c>
    </row>
    <row r="48" spans="1:10">
      <c r="A48" s="4" t="s">
        <v>127</v>
      </c>
      <c r="B48" s="4" t="s">
        <v>25</v>
      </c>
      <c r="C48" s="4" t="s">
        <v>90</v>
      </c>
      <c r="D48" s="4" t="s">
        <v>13</v>
      </c>
      <c r="E48" s="1">
        <v>30009</v>
      </c>
      <c r="F48" s="1">
        <v>44528</v>
      </c>
      <c r="G48" s="5">
        <f t="shared" ca="1" si="0"/>
        <v>40</v>
      </c>
      <c r="H48" s="4" t="s">
        <v>144</v>
      </c>
      <c r="I48" s="4" t="s">
        <v>146</v>
      </c>
      <c r="J48" s="4">
        <v>70034</v>
      </c>
    </row>
    <row r="49" spans="1:10">
      <c r="A49" s="4" t="s">
        <v>129</v>
      </c>
      <c r="B49" s="4" t="s">
        <v>121</v>
      </c>
      <c r="C49" s="4" t="s">
        <v>128</v>
      </c>
      <c r="D49" s="4" t="s">
        <v>13</v>
      </c>
      <c r="E49" s="1">
        <v>32293</v>
      </c>
      <c r="F49" s="1">
        <v>44529</v>
      </c>
      <c r="G49" s="5">
        <f t="shared" ca="1" si="0"/>
        <v>34</v>
      </c>
      <c r="H49" s="4" t="s">
        <v>148</v>
      </c>
      <c r="I49" s="4" t="s">
        <v>149</v>
      </c>
      <c r="J49" s="4">
        <v>40000</v>
      </c>
    </row>
    <row r="50" spans="1:10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t="shared" ca="1" si="0"/>
        <v>37</v>
      </c>
      <c r="H50" s="4" t="s">
        <v>133</v>
      </c>
      <c r="I50" s="4" t="s">
        <v>143</v>
      </c>
      <c r="J50" s="4">
        <v>21310</v>
      </c>
    </row>
  </sheetData>
  <dataValidations count="1">
    <dataValidation type="list" allowBlank="1" showInputMessage="1" showErrorMessage="1" sqref="D1:D1048576">
      <formula1>"М, Ж"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E20" sqref="E20"/>
    </sheetView>
  </sheetViews>
  <sheetFormatPr defaultRowHeight="15"/>
  <cols>
    <col min="1" max="1" width="20.5703125" customWidth="1"/>
    <col min="2" max="2" width="14.7109375" customWidth="1"/>
    <col min="3" max="3" width="19.42578125" customWidth="1"/>
    <col min="5" max="5" width="18" customWidth="1"/>
    <col min="6" max="6" width="11.140625" customWidth="1"/>
    <col min="8" max="8" width="16.140625" customWidth="1"/>
    <col min="9" max="9" width="38.7109375" customWidth="1"/>
    <col min="10" max="10" width="10.710937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>
      <c r="A2" s="4" t="s">
        <v>71</v>
      </c>
      <c r="B2" s="4" t="s">
        <v>72</v>
      </c>
      <c r="C2" s="4" t="s">
        <v>70</v>
      </c>
      <c r="D2" s="4" t="s">
        <v>16</v>
      </c>
      <c r="E2" s="1">
        <v>32912</v>
      </c>
      <c r="F2" s="1">
        <v>44504</v>
      </c>
      <c r="G2" s="5">
        <f t="shared" ref="G2:G33" ca="1" si="0">INT(YEAR(TODAY()))-INT(YEAR(E2))</f>
        <v>32</v>
      </c>
      <c r="H2" s="4" t="s">
        <v>148</v>
      </c>
      <c r="I2" s="4" t="s">
        <v>149</v>
      </c>
      <c r="J2" s="4">
        <v>20000</v>
      </c>
    </row>
    <row r="3" spans="1:10">
      <c r="A3" s="4" t="s">
        <v>96</v>
      </c>
      <c r="B3" s="4" t="s">
        <v>95</v>
      </c>
      <c r="C3" s="4" t="s">
        <v>97</v>
      </c>
      <c r="D3" s="4" t="s">
        <v>16</v>
      </c>
      <c r="E3" s="1">
        <v>28780</v>
      </c>
      <c r="F3" s="1">
        <v>44516</v>
      </c>
      <c r="G3" s="5">
        <f t="shared" ca="1" si="0"/>
        <v>44</v>
      </c>
      <c r="H3" s="4" t="s">
        <v>133</v>
      </c>
      <c r="I3" s="4" t="s">
        <v>137</v>
      </c>
      <c r="J3" s="4">
        <v>20000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1">
        <v>30722</v>
      </c>
      <c r="F4" s="1">
        <v>44482</v>
      </c>
      <c r="G4" s="5">
        <f t="shared" ca="1" si="0"/>
        <v>38</v>
      </c>
      <c r="H4" s="4" t="s">
        <v>133</v>
      </c>
      <c r="I4" s="4" t="s">
        <v>141</v>
      </c>
      <c r="J4" s="4">
        <v>20000</v>
      </c>
    </row>
    <row r="5" spans="1:10">
      <c r="A5" s="4" t="s">
        <v>58</v>
      </c>
      <c r="B5" s="4" t="s">
        <v>59</v>
      </c>
      <c r="C5" s="4" t="s">
        <v>57</v>
      </c>
      <c r="D5" s="4" t="s">
        <v>16</v>
      </c>
      <c r="E5" s="1">
        <v>30716</v>
      </c>
      <c r="F5" s="1">
        <v>44499</v>
      </c>
      <c r="G5" s="5">
        <f t="shared" ca="1" si="0"/>
        <v>38</v>
      </c>
      <c r="H5" s="4" t="s">
        <v>133</v>
      </c>
      <c r="I5" s="4" t="s">
        <v>137</v>
      </c>
      <c r="J5" s="4">
        <v>20000</v>
      </c>
    </row>
    <row r="6" spans="1:10">
      <c r="A6" s="4" t="s">
        <v>122</v>
      </c>
      <c r="B6" s="4" t="s">
        <v>123</v>
      </c>
      <c r="C6" s="4" t="s">
        <v>57</v>
      </c>
      <c r="D6" s="4" t="s">
        <v>16</v>
      </c>
      <c r="E6" s="1">
        <v>29808</v>
      </c>
      <c r="F6" s="1">
        <v>44526</v>
      </c>
      <c r="G6" s="5">
        <f t="shared" ca="1" si="0"/>
        <v>41</v>
      </c>
      <c r="H6" s="4" t="s">
        <v>133</v>
      </c>
      <c r="I6" s="4" t="s">
        <v>139</v>
      </c>
      <c r="J6" s="4">
        <v>100000</v>
      </c>
    </row>
    <row r="7" spans="1:10">
      <c r="A7" s="4" t="s">
        <v>40</v>
      </c>
      <c r="B7" s="4" t="s">
        <v>39</v>
      </c>
      <c r="C7" s="4" t="s">
        <v>38</v>
      </c>
      <c r="D7" s="4" t="s">
        <v>13</v>
      </c>
      <c r="E7" s="1">
        <v>32646</v>
      </c>
      <c r="F7" s="1">
        <v>44492</v>
      </c>
      <c r="G7" s="5">
        <f t="shared" ca="1" si="0"/>
        <v>33</v>
      </c>
      <c r="H7" s="4" t="s">
        <v>133</v>
      </c>
      <c r="I7" s="4" t="s">
        <v>140</v>
      </c>
      <c r="J7" s="4">
        <v>100000</v>
      </c>
    </row>
    <row r="8" spans="1:10">
      <c r="A8" s="4" t="s">
        <v>68</v>
      </c>
      <c r="B8" s="4" t="s">
        <v>69</v>
      </c>
      <c r="C8" s="4" t="s">
        <v>34</v>
      </c>
      <c r="D8" s="4" t="s">
        <v>16</v>
      </c>
      <c r="E8" s="1">
        <v>27489</v>
      </c>
      <c r="F8" s="1">
        <v>44503</v>
      </c>
      <c r="G8" s="5">
        <f t="shared" ca="1" si="0"/>
        <v>47</v>
      </c>
      <c r="H8" s="4" t="s">
        <v>144</v>
      </c>
      <c r="I8" s="4" t="s">
        <v>146</v>
      </c>
      <c r="J8" s="4">
        <v>20000</v>
      </c>
    </row>
    <row r="9" spans="1:10">
      <c r="A9" s="4" t="s">
        <v>105</v>
      </c>
      <c r="B9" s="4" t="s">
        <v>106</v>
      </c>
      <c r="C9" s="4" t="s">
        <v>104</v>
      </c>
      <c r="D9" s="4" t="s">
        <v>16</v>
      </c>
      <c r="E9" s="1">
        <v>32382</v>
      </c>
      <c r="F9" s="1">
        <v>44519</v>
      </c>
      <c r="G9" s="5">
        <f t="shared" ca="1" si="0"/>
        <v>34</v>
      </c>
      <c r="H9" s="4" t="s">
        <v>148</v>
      </c>
      <c r="I9" s="4" t="s">
        <v>149</v>
      </c>
      <c r="J9" s="4">
        <v>70034</v>
      </c>
    </row>
    <row r="10" spans="1:10">
      <c r="A10" s="4" t="s">
        <v>83</v>
      </c>
      <c r="B10" s="4" t="s">
        <v>84</v>
      </c>
      <c r="C10" s="4" t="s">
        <v>82</v>
      </c>
      <c r="D10" s="4" t="s">
        <v>16</v>
      </c>
      <c r="E10" s="1">
        <v>28388</v>
      </c>
      <c r="F10" s="1">
        <v>44509</v>
      </c>
      <c r="G10" s="5">
        <f t="shared" ca="1" si="0"/>
        <v>45</v>
      </c>
      <c r="H10" s="4" t="s">
        <v>133</v>
      </c>
      <c r="I10" s="4" t="s">
        <v>139</v>
      </c>
      <c r="J10" s="4">
        <v>20000</v>
      </c>
    </row>
    <row r="11" spans="1:10">
      <c r="A11" s="4" t="s">
        <v>127</v>
      </c>
      <c r="B11" s="4" t="s">
        <v>25</v>
      </c>
      <c r="C11" s="4" t="s">
        <v>90</v>
      </c>
      <c r="D11" s="4" t="s">
        <v>13</v>
      </c>
      <c r="E11" s="1">
        <v>30009</v>
      </c>
      <c r="F11" s="1">
        <v>44528</v>
      </c>
      <c r="G11" s="5">
        <f t="shared" ca="1" si="0"/>
        <v>40</v>
      </c>
      <c r="H11" s="4" t="s">
        <v>144</v>
      </c>
      <c r="I11" s="4" t="s">
        <v>146</v>
      </c>
      <c r="J11" s="4">
        <v>70034</v>
      </c>
    </row>
    <row r="12" spans="1:10">
      <c r="A12" s="4" t="s">
        <v>102</v>
      </c>
      <c r="B12" s="4" t="s">
        <v>101</v>
      </c>
      <c r="C12" s="4" t="s">
        <v>103</v>
      </c>
      <c r="D12" s="4" t="s">
        <v>13</v>
      </c>
      <c r="E12" s="1">
        <v>30463</v>
      </c>
      <c r="F12" s="1">
        <v>44518</v>
      </c>
      <c r="G12" s="5">
        <f t="shared" ca="1" si="0"/>
        <v>39</v>
      </c>
      <c r="H12" s="4" t="s">
        <v>133</v>
      </c>
      <c r="I12" s="4" t="s">
        <v>139</v>
      </c>
      <c r="J12" s="4">
        <v>20000</v>
      </c>
    </row>
    <row r="13" spans="1:10">
      <c r="A13" s="4" t="s">
        <v>53</v>
      </c>
      <c r="B13" s="4" t="s">
        <v>14</v>
      </c>
      <c r="C13" s="4" t="s">
        <v>52</v>
      </c>
      <c r="D13" s="4" t="s">
        <v>16</v>
      </c>
      <c r="E13" s="1">
        <v>30813</v>
      </c>
      <c r="F13" s="1">
        <v>44497</v>
      </c>
      <c r="G13" s="5">
        <f t="shared" ca="1" si="0"/>
        <v>38</v>
      </c>
      <c r="H13" s="4" t="s">
        <v>133</v>
      </c>
      <c r="I13" s="4" t="s">
        <v>139</v>
      </c>
      <c r="J13" s="4">
        <v>20000</v>
      </c>
    </row>
    <row r="14" spans="1:10">
      <c r="A14" s="4" t="s">
        <v>21</v>
      </c>
      <c r="B14" s="4" t="s">
        <v>22</v>
      </c>
      <c r="C14" s="4" t="s">
        <v>20</v>
      </c>
      <c r="D14" s="4" t="s">
        <v>13</v>
      </c>
      <c r="E14" s="1">
        <v>31434</v>
      </c>
      <c r="F14" s="1">
        <v>44485</v>
      </c>
      <c r="G14" s="5">
        <f t="shared" ca="1" si="0"/>
        <v>36</v>
      </c>
      <c r="H14" s="4" t="s">
        <v>144</v>
      </c>
      <c r="I14" s="4" t="s">
        <v>145</v>
      </c>
      <c r="J14" s="4">
        <v>70034</v>
      </c>
    </row>
    <row r="15" spans="1:10">
      <c r="A15" s="4" t="s">
        <v>78</v>
      </c>
      <c r="B15" s="4" t="s">
        <v>79</v>
      </c>
      <c r="C15" s="4" t="s">
        <v>41</v>
      </c>
      <c r="D15" s="4" t="s">
        <v>13</v>
      </c>
      <c r="E15" s="1">
        <v>28136</v>
      </c>
      <c r="F15" s="1">
        <v>44507</v>
      </c>
      <c r="G15" s="5">
        <f t="shared" ca="1" si="0"/>
        <v>45</v>
      </c>
      <c r="H15" s="4" t="s">
        <v>148</v>
      </c>
      <c r="I15" s="4" t="s">
        <v>149</v>
      </c>
      <c r="J15" s="4">
        <v>40000</v>
      </c>
    </row>
    <row r="16" spans="1:10">
      <c r="A16" s="4" t="s">
        <v>129</v>
      </c>
      <c r="B16" s="4" t="s">
        <v>121</v>
      </c>
      <c r="C16" s="4" t="s">
        <v>128</v>
      </c>
      <c r="D16" s="4" t="s">
        <v>13</v>
      </c>
      <c r="E16" s="1">
        <v>32293</v>
      </c>
      <c r="F16" s="1">
        <v>44529</v>
      </c>
      <c r="G16" s="5">
        <f t="shared" ca="1" si="0"/>
        <v>34</v>
      </c>
      <c r="H16" s="4" t="s">
        <v>148</v>
      </c>
      <c r="I16" s="4" t="s">
        <v>149</v>
      </c>
      <c r="J16" s="4">
        <v>40000</v>
      </c>
    </row>
    <row r="17" spans="1:10">
      <c r="A17" s="4" t="s">
        <v>24</v>
      </c>
      <c r="B17" s="4" t="s">
        <v>25</v>
      </c>
      <c r="C17" s="4" t="s">
        <v>23</v>
      </c>
      <c r="D17" s="4" t="s">
        <v>13</v>
      </c>
      <c r="E17" s="1">
        <v>33806</v>
      </c>
      <c r="F17" s="1">
        <v>44486</v>
      </c>
      <c r="G17" s="5">
        <f t="shared" ca="1" si="0"/>
        <v>30</v>
      </c>
      <c r="H17" s="4" t="s">
        <v>133</v>
      </c>
      <c r="I17" s="4" t="s">
        <v>137</v>
      </c>
      <c r="J17" s="4">
        <v>70034</v>
      </c>
    </row>
    <row r="18" spans="1:10">
      <c r="A18" s="4" t="s">
        <v>134</v>
      </c>
      <c r="B18" s="4" t="s">
        <v>135</v>
      </c>
      <c r="C18" s="4" t="s">
        <v>136</v>
      </c>
      <c r="D18" s="4" t="s">
        <v>16</v>
      </c>
      <c r="E18" s="1">
        <v>30198</v>
      </c>
      <c r="F18" s="1">
        <v>44489</v>
      </c>
      <c r="G18" s="5">
        <f t="shared" ca="1" si="0"/>
        <v>40</v>
      </c>
      <c r="H18" s="4" t="s">
        <v>133</v>
      </c>
      <c r="I18" s="4" t="s">
        <v>140</v>
      </c>
      <c r="J18" s="4">
        <v>21310</v>
      </c>
    </row>
    <row r="19" spans="1:10">
      <c r="A19" s="4" t="s">
        <v>81</v>
      </c>
      <c r="B19" s="4" t="s">
        <v>32</v>
      </c>
      <c r="C19" s="4" t="s">
        <v>80</v>
      </c>
      <c r="D19" s="4" t="s">
        <v>16</v>
      </c>
      <c r="E19" s="1">
        <v>30702</v>
      </c>
      <c r="F19" s="1">
        <v>44508</v>
      </c>
      <c r="G19" s="5">
        <f t="shared" ca="1" si="0"/>
        <v>38</v>
      </c>
      <c r="H19" s="4" t="s">
        <v>133</v>
      </c>
      <c r="I19" s="4" t="s">
        <v>138</v>
      </c>
      <c r="J19" s="4">
        <v>100000</v>
      </c>
    </row>
    <row r="20" spans="1:10">
      <c r="A20" s="4" t="s">
        <v>47</v>
      </c>
      <c r="B20" s="4" t="s">
        <v>48</v>
      </c>
      <c r="C20" s="4" t="s">
        <v>46</v>
      </c>
      <c r="D20" s="4" t="s">
        <v>13</v>
      </c>
      <c r="E20" s="1">
        <v>33082</v>
      </c>
      <c r="F20" s="1">
        <v>44495</v>
      </c>
      <c r="G20" s="5">
        <f t="shared" ca="1" si="0"/>
        <v>32</v>
      </c>
      <c r="H20" s="4" t="s">
        <v>133</v>
      </c>
      <c r="I20" s="4" t="s">
        <v>140</v>
      </c>
      <c r="J20" s="4">
        <v>31000</v>
      </c>
    </row>
    <row r="21" spans="1:10">
      <c r="A21" s="4" t="s">
        <v>47</v>
      </c>
      <c r="B21" s="4" t="s">
        <v>62</v>
      </c>
      <c r="C21" s="4" t="s">
        <v>20</v>
      </c>
      <c r="D21" s="4" t="s">
        <v>13</v>
      </c>
      <c r="E21" s="1">
        <v>29561</v>
      </c>
      <c r="F21" s="1">
        <v>44512</v>
      </c>
      <c r="G21" s="5">
        <f t="shared" ca="1" si="0"/>
        <v>42</v>
      </c>
      <c r="H21" s="4" t="s">
        <v>133</v>
      </c>
      <c r="I21" s="4" t="s">
        <v>138</v>
      </c>
      <c r="J21" s="4">
        <v>100000</v>
      </c>
    </row>
    <row r="22" spans="1:10">
      <c r="A22" s="4" t="s">
        <v>112</v>
      </c>
      <c r="B22" s="4" t="s">
        <v>113</v>
      </c>
      <c r="C22" s="4" t="s">
        <v>111</v>
      </c>
      <c r="D22" s="4" t="s">
        <v>13</v>
      </c>
      <c r="E22" s="1">
        <v>32297</v>
      </c>
      <c r="F22" s="1">
        <v>44522</v>
      </c>
      <c r="G22" s="5">
        <f t="shared" ca="1" si="0"/>
        <v>34</v>
      </c>
      <c r="H22" s="4" t="s">
        <v>133</v>
      </c>
      <c r="I22" s="4" t="s">
        <v>137</v>
      </c>
      <c r="J22" s="4">
        <v>80000</v>
      </c>
    </row>
    <row r="23" spans="1:10">
      <c r="A23" s="4" t="s">
        <v>91</v>
      </c>
      <c r="B23" s="4" t="s">
        <v>18</v>
      </c>
      <c r="C23" s="4" t="s">
        <v>90</v>
      </c>
      <c r="D23" s="4" t="s">
        <v>13</v>
      </c>
      <c r="E23" s="1">
        <v>33214</v>
      </c>
      <c r="F23" s="1">
        <v>44513</v>
      </c>
      <c r="G23" s="5">
        <f t="shared" ca="1" si="0"/>
        <v>32</v>
      </c>
      <c r="H23" s="4" t="s">
        <v>144</v>
      </c>
      <c r="I23" s="4" t="s">
        <v>146</v>
      </c>
      <c r="J23" s="4">
        <v>100000</v>
      </c>
    </row>
    <row r="24" spans="1:10">
      <c r="A24" s="4" t="s">
        <v>150</v>
      </c>
      <c r="B24" s="4" t="s">
        <v>14</v>
      </c>
      <c r="C24" s="4" t="s">
        <v>15</v>
      </c>
      <c r="D24" s="4" t="s">
        <v>16</v>
      </c>
      <c r="E24" s="2">
        <v>33057</v>
      </c>
      <c r="F24" s="1">
        <v>44483</v>
      </c>
      <c r="G24" s="5">
        <f t="shared" ca="1" si="0"/>
        <v>32</v>
      </c>
      <c r="H24" s="4" t="s">
        <v>133</v>
      </c>
      <c r="I24" s="4" t="s">
        <v>139</v>
      </c>
      <c r="J24" s="4">
        <v>20000</v>
      </c>
    </row>
    <row r="25" spans="1:10">
      <c r="A25" s="4" t="s">
        <v>150</v>
      </c>
      <c r="B25" s="4" t="s">
        <v>26</v>
      </c>
      <c r="C25" s="4" t="s">
        <v>27</v>
      </c>
      <c r="D25" s="4" t="s">
        <v>16</v>
      </c>
      <c r="E25" s="1">
        <v>31216</v>
      </c>
      <c r="F25" s="1">
        <v>44487</v>
      </c>
      <c r="G25" s="5">
        <f t="shared" ca="1" si="0"/>
        <v>37</v>
      </c>
      <c r="H25" s="4" t="s">
        <v>144</v>
      </c>
      <c r="I25" s="4" t="s">
        <v>147</v>
      </c>
      <c r="J25" s="4">
        <v>20000</v>
      </c>
    </row>
    <row r="26" spans="1:10">
      <c r="A26" s="4" t="s">
        <v>94</v>
      </c>
      <c r="B26" s="4" t="s">
        <v>31</v>
      </c>
      <c r="C26" s="4" t="s">
        <v>66</v>
      </c>
      <c r="D26" s="4" t="s">
        <v>16</v>
      </c>
      <c r="E26" s="1">
        <v>29857</v>
      </c>
      <c r="F26" s="1">
        <v>44515</v>
      </c>
      <c r="G26" s="5">
        <f t="shared" ca="1" si="0"/>
        <v>41</v>
      </c>
      <c r="H26" s="4" t="s">
        <v>133</v>
      </c>
      <c r="I26" s="4" t="s">
        <v>137</v>
      </c>
      <c r="J26" s="4">
        <v>31000</v>
      </c>
    </row>
    <row r="27" spans="1:10">
      <c r="A27" s="4" t="s">
        <v>125</v>
      </c>
      <c r="B27" s="4" t="s">
        <v>126</v>
      </c>
      <c r="C27" s="4" t="s">
        <v>124</v>
      </c>
      <c r="D27" s="4" t="s">
        <v>13</v>
      </c>
      <c r="E27" s="1">
        <v>29109</v>
      </c>
      <c r="F27" s="1">
        <v>44527</v>
      </c>
      <c r="G27" s="5">
        <f t="shared" ca="1" si="0"/>
        <v>43</v>
      </c>
      <c r="H27" s="4" t="s">
        <v>133</v>
      </c>
      <c r="I27" s="4" t="s">
        <v>137</v>
      </c>
      <c r="J27" s="4">
        <v>211000</v>
      </c>
    </row>
    <row r="28" spans="1:10">
      <c r="A28" s="4" t="s">
        <v>151</v>
      </c>
      <c r="B28" s="4" t="s">
        <v>45</v>
      </c>
      <c r="C28" s="4" t="s">
        <v>44</v>
      </c>
      <c r="D28" s="4" t="s">
        <v>13</v>
      </c>
      <c r="E28" s="1">
        <v>27847</v>
      </c>
      <c r="F28" s="1">
        <v>44494</v>
      </c>
      <c r="G28" s="5">
        <f t="shared" ca="1" si="0"/>
        <v>46</v>
      </c>
      <c r="H28" s="4" t="s">
        <v>133</v>
      </c>
      <c r="I28" s="4" t="s">
        <v>137</v>
      </c>
      <c r="J28" s="4">
        <v>100000</v>
      </c>
    </row>
    <row r="29" spans="1:10">
      <c r="A29" s="4" t="s">
        <v>115</v>
      </c>
      <c r="B29" s="4" t="s">
        <v>116</v>
      </c>
      <c r="C29" s="4" t="s">
        <v>114</v>
      </c>
      <c r="D29" s="4" t="s">
        <v>13</v>
      </c>
      <c r="E29" s="1">
        <v>33771</v>
      </c>
      <c r="F29" s="1">
        <v>44523</v>
      </c>
      <c r="G29" s="5">
        <f t="shared" ca="1" si="0"/>
        <v>30</v>
      </c>
      <c r="H29" s="4" t="s">
        <v>144</v>
      </c>
      <c r="I29" s="4" t="s">
        <v>145</v>
      </c>
      <c r="J29" s="4">
        <v>70034</v>
      </c>
    </row>
    <row r="30" spans="1:10">
      <c r="A30" s="4" t="s">
        <v>92</v>
      </c>
      <c r="B30" s="4" t="s">
        <v>93</v>
      </c>
      <c r="C30" s="4" t="s">
        <v>20</v>
      </c>
      <c r="D30" s="4" t="s">
        <v>13</v>
      </c>
      <c r="E30" s="1">
        <v>28186</v>
      </c>
      <c r="F30" s="1">
        <v>44514</v>
      </c>
      <c r="G30" s="5">
        <f t="shared" ca="1" si="0"/>
        <v>45</v>
      </c>
      <c r="H30" s="4" t="s">
        <v>133</v>
      </c>
      <c r="I30" s="4" t="s">
        <v>138</v>
      </c>
      <c r="J30" s="4">
        <v>31000</v>
      </c>
    </row>
    <row r="31" spans="1:10">
      <c r="A31" s="4" t="s">
        <v>88</v>
      </c>
      <c r="B31" s="4" t="s">
        <v>89</v>
      </c>
      <c r="C31" s="4" t="s">
        <v>87</v>
      </c>
      <c r="D31" s="4" t="s">
        <v>13</v>
      </c>
      <c r="E31" s="1">
        <v>31904</v>
      </c>
      <c r="F31" s="1">
        <v>44511</v>
      </c>
      <c r="G31" s="5">
        <f t="shared" ca="1" si="0"/>
        <v>35</v>
      </c>
      <c r="H31" s="4" t="s">
        <v>133</v>
      </c>
      <c r="I31" s="4" t="s">
        <v>142</v>
      </c>
      <c r="J31" s="4">
        <v>31000</v>
      </c>
    </row>
    <row r="32" spans="1:10">
      <c r="A32" s="4" t="s">
        <v>30</v>
      </c>
      <c r="B32" s="4" t="s">
        <v>28</v>
      </c>
      <c r="C32" s="4" t="s">
        <v>29</v>
      </c>
      <c r="D32" s="4" t="s">
        <v>16</v>
      </c>
      <c r="E32" s="1">
        <v>33856</v>
      </c>
      <c r="F32" s="1">
        <v>44488</v>
      </c>
      <c r="G32" s="5">
        <f t="shared" ca="1" si="0"/>
        <v>30</v>
      </c>
      <c r="H32" s="4" t="s">
        <v>144</v>
      </c>
      <c r="I32" s="4" t="s">
        <v>147</v>
      </c>
      <c r="J32" s="4">
        <v>70034</v>
      </c>
    </row>
    <row r="33" spans="1:10">
      <c r="A33" s="4" t="s">
        <v>37</v>
      </c>
      <c r="B33" s="4" t="s">
        <v>36</v>
      </c>
      <c r="C33" s="4" t="s">
        <v>35</v>
      </c>
      <c r="D33" s="4" t="s">
        <v>16</v>
      </c>
      <c r="E33" s="1">
        <v>28013</v>
      </c>
      <c r="F33" s="1">
        <v>44491</v>
      </c>
      <c r="G33" s="5">
        <f t="shared" ca="1" si="0"/>
        <v>46</v>
      </c>
      <c r="H33" s="4" t="s">
        <v>148</v>
      </c>
      <c r="I33" s="4" t="s">
        <v>149</v>
      </c>
      <c r="J33" s="4">
        <v>70034</v>
      </c>
    </row>
    <row r="34" spans="1:10">
      <c r="A34" s="4" t="s">
        <v>117</v>
      </c>
      <c r="B34" s="4" t="s">
        <v>118</v>
      </c>
      <c r="C34" s="4" t="s">
        <v>76</v>
      </c>
      <c r="D34" s="4" t="s">
        <v>13</v>
      </c>
      <c r="E34" s="1">
        <v>29038</v>
      </c>
      <c r="F34" s="1">
        <v>44524</v>
      </c>
      <c r="G34" s="5">
        <f t="shared" ref="G34:G50" ca="1" si="1">INT(YEAR(TODAY()))-INT(YEAR(E34))</f>
        <v>43</v>
      </c>
      <c r="H34" s="4" t="s">
        <v>133</v>
      </c>
      <c r="I34" s="4" t="s">
        <v>138</v>
      </c>
      <c r="J34" s="4">
        <v>100000</v>
      </c>
    </row>
    <row r="35" spans="1:10">
      <c r="A35" s="4" t="s">
        <v>17</v>
      </c>
      <c r="B35" s="4" t="s">
        <v>18</v>
      </c>
      <c r="C35" s="4" t="s">
        <v>19</v>
      </c>
      <c r="D35" s="4" t="s">
        <v>13</v>
      </c>
      <c r="E35" s="1">
        <v>31518</v>
      </c>
      <c r="F35" s="1">
        <v>44484</v>
      </c>
      <c r="G35" s="5">
        <f t="shared" ca="1" si="1"/>
        <v>36</v>
      </c>
      <c r="H35" s="4" t="s">
        <v>133</v>
      </c>
      <c r="I35" s="4" t="s">
        <v>140</v>
      </c>
      <c r="J35" s="4">
        <v>20000</v>
      </c>
    </row>
    <row r="36" spans="1:10">
      <c r="A36" s="4" t="s">
        <v>55</v>
      </c>
      <c r="B36" s="4" t="s">
        <v>56</v>
      </c>
      <c r="C36" s="4" t="s">
        <v>54</v>
      </c>
      <c r="D36" s="4" t="s">
        <v>13</v>
      </c>
      <c r="E36" s="1">
        <v>31684</v>
      </c>
      <c r="F36" s="1">
        <v>44498</v>
      </c>
      <c r="G36" s="5">
        <f t="shared" ca="1" si="1"/>
        <v>36</v>
      </c>
      <c r="H36" s="4" t="s">
        <v>144</v>
      </c>
      <c r="I36" s="4" t="s">
        <v>145</v>
      </c>
      <c r="J36" s="4">
        <v>20000</v>
      </c>
    </row>
    <row r="37" spans="1:10">
      <c r="A37" s="4" t="s">
        <v>109</v>
      </c>
      <c r="B37" s="4" t="s">
        <v>110</v>
      </c>
      <c r="C37" s="4" t="s">
        <v>20</v>
      </c>
      <c r="D37" s="4" t="s">
        <v>13</v>
      </c>
      <c r="E37" s="1">
        <v>28277</v>
      </c>
      <c r="F37" s="1">
        <v>44521</v>
      </c>
      <c r="G37" s="5">
        <f t="shared" ca="1" si="1"/>
        <v>45</v>
      </c>
      <c r="H37" s="4" t="s">
        <v>133</v>
      </c>
      <c r="I37" s="4" t="s">
        <v>137</v>
      </c>
      <c r="J37" s="4">
        <v>80000</v>
      </c>
    </row>
    <row r="38" spans="1:10">
      <c r="A38" s="4" t="s">
        <v>120</v>
      </c>
      <c r="B38" s="4" t="s">
        <v>121</v>
      </c>
      <c r="C38" s="4" t="s">
        <v>119</v>
      </c>
      <c r="D38" s="4" t="s">
        <v>13</v>
      </c>
      <c r="E38" s="1">
        <v>27732</v>
      </c>
      <c r="F38" s="1">
        <v>44525</v>
      </c>
      <c r="G38" s="5">
        <f t="shared" ca="1" si="1"/>
        <v>47</v>
      </c>
      <c r="H38" s="4" t="s">
        <v>133</v>
      </c>
      <c r="I38" s="4" t="s">
        <v>137</v>
      </c>
      <c r="J38" s="4">
        <v>100000</v>
      </c>
    </row>
    <row r="39" spans="1:10">
      <c r="A39" s="4" t="s">
        <v>107</v>
      </c>
      <c r="B39" s="4" t="s">
        <v>108</v>
      </c>
      <c r="C39" s="4" t="s">
        <v>66</v>
      </c>
      <c r="D39" s="4" t="s">
        <v>16</v>
      </c>
      <c r="E39" s="1">
        <v>29547</v>
      </c>
      <c r="F39" s="1">
        <v>44520</v>
      </c>
      <c r="G39" s="5">
        <f t="shared" ca="1" si="1"/>
        <v>42</v>
      </c>
      <c r="H39" s="4" t="s">
        <v>133</v>
      </c>
      <c r="I39" s="4" t="s">
        <v>138</v>
      </c>
      <c r="J39" s="4">
        <v>100000</v>
      </c>
    </row>
    <row r="40" spans="1:10">
      <c r="A40" s="4" t="s">
        <v>50</v>
      </c>
      <c r="B40" s="4" t="s">
        <v>51</v>
      </c>
      <c r="C40" s="4" t="s">
        <v>49</v>
      </c>
      <c r="D40" s="4" t="s">
        <v>13</v>
      </c>
      <c r="E40" s="1">
        <v>28967</v>
      </c>
      <c r="F40" s="1">
        <v>44496</v>
      </c>
      <c r="G40" s="5">
        <f t="shared" ca="1" si="1"/>
        <v>43</v>
      </c>
      <c r="H40" s="4" t="s">
        <v>133</v>
      </c>
      <c r="I40" s="4" t="s">
        <v>137</v>
      </c>
      <c r="J40" s="4">
        <v>100000</v>
      </c>
    </row>
    <row r="41" spans="1:10">
      <c r="A41" s="4" t="s">
        <v>77</v>
      </c>
      <c r="B41" s="4" t="s">
        <v>65</v>
      </c>
      <c r="C41" s="4" t="s">
        <v>76</v>
      </c>
      <c r="D41" s="4" t="s">
        <v>13</v>
      </c>
      <c r="E41" s="1">
        <v>28784</v>
      </c>
      <c r="F41" s="1">
        <v>44506</v>
      </c>
      <c r="G41" s="5">
        <f t="shared" ca="1" si="1"/>
        <v>44</v>
      </c>
      <c r="H41" s="4" t="s">
        <v>133</v>
      </c>
      <c r="I41" s="4" t="s">
        <v>139</v>
      </c>
      <c r="J41" s="4">
        <v>100000</v>
      </c>
    </row>
    <row r="42" spans="1:10">
      <c r="A42" s="4" t="s">
        <v>67</v>
      </c>
      <c r="B42" s="4" t="s">
        <v>32</v>
      </c>
      <c r="C42" s="4" t="s">
        <v>66</v>
      </c>
      <c r="D42" s="4" t="s">
        <v>16</v>
      </c>
      <c r="E42" s="1">
        <v>29640</v>
      </c>
      <c r="F42" s="1">
        <v>44502</v>
      </c>
      <c r="G42" s="5">
        <f t="shared" ca="1" si="1"/>
        <v>41</v>
      </c>
      <c r="H42" s="4" t="s">
        <v>144</v>
      </c>
      <c r="I42" s="4" t="s">
        <v>145</v>
      </c>
      <c r="J42" s="4">
        <v>20000</v>
      </c>
    </row>
    <row r="43" spans="1:10">
      <c r="A43" s="4" t="s">
        <v>131</v>
      </c>
      <c r="B43" s="4" t="s">
        <v>132</v>
      </c>
      <c r="C43" s="4" t="s">
        <v>130</v>
      </c>
      <c r="D43" s="4" t="s">
        <v>13</v>
      </c>
      <c r="E43" s="1">
        <v>31213</v>
      </c>
      <c r="F43" s="1">
        <v>44530</v>
      </c>
      <c r="G43" s="5">
        <f t="shared" ca="1" si="1"/>
        <v>37</v>
      </c>
      <c r="H43" s="4" t="s">
        <v>133</v>
      </c>
      <c r="I43" s="4" t="s">
        <v>143</v>
      </c>
      <c r="J43" s="4">
        <v>21310</v>
      </c>
    </row>
    <row r="44" spans="1:10">
      <c r="A44" s="4" t="s">
        <v>64</v>
      </c>
      <c r="B44" s="4" t="s">
        <v>65</v>
      </c>
      <c r="C44" s="4" t="s">
        <v>63</v>
      </c>
      <c r="D44" s="4" t="s">
        <v>13</v>
      </c>
      <c r="E44" s="1">
        <v>30065</v>
      </c>
      <c r="F44" s="1">
        <v>44501</v>
      </c>
      <c r="G44" s="5">
        <f t="shared" ca="1" si="1"/>
        <v>40</v>
      </c>
      <c r="H44" s="4" t="s">
        <v>144</v>
      </c>
      <c r="I44" s="4" t="s">
        <v>146</v>
      </c>
      <c r="J44" s="4">
        <v>31000</v>
      </c>
    </row>
    <row r="45" spans="1:10">
      <c r="A45" s="4" t="s">
        <v>74</v>
      </c>
      <c r="B45" s="4" t="s">
        <v>75</v>
      </c>
      <c r="C45" s="4" t="s">
        <v>73</v>
      </c>
      <c r="D45" s="4" t="s">
        <v>16</v>
      </c>
      <c r="E45" s="1">
        <v>29576</v>
      </c>
      <c r="F45" s="1">
        <v>44505</v>
      </c>
      <c r="G45" s="5">
        <f t="shared" ca="1" si="1"/>
        <v>42</v>
      </c>
      <c r="H45" s="4" t="s">
        <v>133</v>
      </c>
      <c r="I45" s="4" t="s">
        <v>138</v>
      </c>
      <c r="J45" s="4">
        <v>31000</v>
      </c>
    </row>
    <row r="46" spans="1:10">
      <c r="A46" s="4" t="s">
        <v>33</v>
      </c>
      <c r="B46" s="4" t="s">
        <v>32</v>
      </c>
      <c r="C46" s="4" t="s">
        <v>34</v>
      </c>
      <c r="D46" s="4" t="s">
        <v>16</v>
      </c>
      <c r="E46" s="1">
        <v>31887</v>
      </c>
      <c r="F46" s="1">
        <v>44490</v>
      </c>
      <c r="G46" s="5">
        <f t="shared" ca="1" si="1"/>
        <v>35</v>
      </c>
      <c r="H46" s="4" t="s">
        <v>133</v>
      </c>
      <c r="I46" s="4" t="s">
        <v>137</v>
      </c>
      <c r="J46" s="4">
        <v>70034</v>
      </c>
    </row>
    <row r="47" spans="1:10">
      <c r="A47" s="4" t="s">
        <v>99</v>
      </c>
      <c r="B47" s="4" t="s">
        <v>98</v>
      </c>
      <c r="C47" s="4" t="s">
        <v>100</v>
      </c>
      <c r="D47" s="4" t="s">
        <v>13</v>
      </c>
      <c r="E47" s="1">
        <v>33678</v>
      </c>
      <c r="F47" s="1">
        <v>44517</v>
      </c>
      <c r="G47" s="5">
        <f t="shared" ca="1" si="1"/>
        <v>30</v>
      </c>
      <c r="H47" s="4" t="s">
        <v>133</v>
      </c>
      <c r="I47" s="4" t="s">
        <v>138</v>
      </c>
      <c r="J47" s="4">
        <v>20000</v>
      </c>
    </row>
    <row r="48" spans="1:10">
      <c r="A48" s="4" t="s">
        <v>61</v>
      </c>
      <c r="B48" s="4" t="s">
        <v>62</v>
      </c>
      <c r="C48" s="4" t="s">
        <v>60</v>
      </c>
      <c r="D48" s="4" t="s">
        <v>13</v>
      </c>
      <c r="E48" s="1">
        <v>28208</v>
      </c>
      <c r="F48" s="1">
        <v>44500</v>
      </c>
      <c r="G48" s="5">
        <f t="shared" ca="1" si="1"/>
        <v>45</v>
      </c>
      <c r="H48" s="4" t="s">
        <v>133</v>
      </c>
      <c r="I48" s="4" t="s">
        <v>139</v>
      </c>
      <c r="J48" s="4">
        <v>31000</v>
      </c>
    </row>
    <row r="49" spans="1:10">
      <c r="A49" s="4" t="s">
        <v>85</v>
      </c>
      <c r="B49" s="4" t="s">
        <v>86</v>
      </c>
      <c r="C49" s="4" t="s">
        <v>73</v>
      </c>
      <c r="D49" s="4" t="s">
        <v>16</v>
      </c>
      <c r="E49" s="1">
        <v>33174</v>
      </c>
      <c r="F49" s="1">
        <v>44510</v>
      </c>
      <c r="G49" s="5">
        <f t="shared" ca="1" si="1"/>
        <v>32</v>
      </c>
      <c r="H49" s="4" t="s">
        <v>133</v>
      </c>
      <c r="I49" s="4" t="s">
        <v>138</v>
      </c>
      <c r="J49" s="4">
        <v>21310</v>
      </c>
    </row>
    <row r="50" spans="1:10">
      <c r="A50" s="4" t="s">
        <v>43</v>
      </c>
      <c r="B50" s="4" t="s">
        <v>42</v>
      </c>
      <c r="C50" s="4" t="s">
        <v>41</v>
      </c>
      <c r="D50" s="4" t="s">
        <v>13</v>
      </c>
      <c r="E50" s="1">
        <v>29013</v>
      </c>
      <c r="F50" s="1">
        <v>44493</v>
      </c>
      <c r="G50" s="5">
        <f t="shared" ca="1" si="1"/>
        <v>43</v>
      </c>
      <c r="H50" s="4" t="s">
        <v>148</v>
      </c>
      <c r="I50" s="4" t="s">
        <v>149</v>
      </c>
      <c r="J50" s="4">
        <v>70034</v>
      </c>
    </row>
  </sheetData>
  <sortState ref="A2:J50">
    <sortCondition ref="A1"/>
  </sortState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C5" sqref="C5"/>
    </sheetView>
  </sheetViews>
  <sheetFormatPr defaultRowHeight="15"/>
  <cols>
    <col min="1" max="1" width="17.7109375" customWidth="1"/>
    <col min="2" max="2" width="16.42578125" customWidth="1"/>
    <col min="3" max="3" width="18.140625" customWidth="1"/>
    <col min="4" max="4" width="15.5703125" customWidth="1"/>
    <col min="5" max="5" width="14.140625" customWidth="1"/>
    <col min="6" max="6" width="11.28515625" customWidth="1"/>
    <col min="8" max="8" width="20.5703125" customWidth="1"/>
    <col min="9" max="9" width="41.14062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>
      <c r="A2" s="4" t="s">
        <v>94</v>
      </c>
      <c r="B2" s="4" t="s">
        <v>31</v>
      </c>
      <c r="C2" s="4" t="s">
        <v>66</v>
      </c>
      <c r="D2" s="4" t="s">
        <v>16</v>
      </c>
      <c r="E2" s="1">
        <v>29857</v>
      </c>
      <c r="F2" s="1">
        <v>44515</v>
      </c>
      <c r="G2" s="5">
        <f t="shared" ref="G2:G33" ca="1" si="0">INT(YEAR(TODAY()))-INT(YEAR(E2))</f>
        <v>41</v>
      </c>
      <c r="H2" s="4" t="s">
        <v>133</v>
      </c>
      <c r="I2" s="4" t="s">
        <v>137</v>
      </c>
      <c r="J2" s="4">
        <v>31000</v>
      </c>
    </row>
    <row r="3" spans="1:10">
      <c r="A3" s="4" t="s">
        <v>117</v>
      </c>
      <c r="B3" s="4" t="s">
        <v>118</v>
      </c>
      <c r="C3" s="4" t="s">
        <v>76</v>
      </c>
      <c r="D3" s="4" t="s">
        <v>13</v>
      </c>
      <c r="E3" s="1">
        <v>29038</v>
      </c>
      <c r="F3" s="1">
        <v>44524</v>
      </c>
      <c r="G3" s="5">
        <f t="shared" ca="1" si="0"/>
        <v>43</v>
      </c>
      <c r="H3" s="4" t="s">
        <v>133</v>
      </c>
      <c r="I3" s="4" t="s">
        <v>138</v>
      </c>
      <c r="J3" s="4">
        <v>100000</v>
      </c>
    </row>
    <row r="4" spans="1:10">
      <c r="A4" s="4" t="s">
        <v>21</v>
      </c>
      <c r="B4" s="4" t="s">
        <v>22</v>
      </c>
      <c r="C4" s="4" t="s">
        <v>20</v>
      </c>
      <c r="D4" s="4" t="s">
        <v>13</v>
      </c>
      <c r="E4" s="1">
        <v>31434</v>
      </c>
      <c r="F4" s="1">
        <v>44485</v>
      </c>
      <c r="G4" s="5">
        <f t="shared" ca="1" si="0"/>
        <v>36</v>
      </c>
      <c r="H4" s="4" t="s">
        <v>144</v>
      </c>
      <c r="I4" s="4" t="s">
        <v>145</v>
      </c>
      <c r="J4" s="4">
        <v>70034</v>
      </c>
    </row>
    <row r="5" spans="1:10">
      <c r="A5" s="4" t="s">
        <v>40</v>
      </c>
      <c r="B5" s="4" t="s">
        <v>39</v>
      </c>
      <c r="C5" s="4" t="s">
        <v>38</v>
      </c>
      <c r="D5" s="4" t="s">
        <v>13</v>
      </c>
      <c r="E5" s="1">
        <v>32646</v>
      </c>
      <c r="F5" s="1">
        <v>44492</v>
      </c>
      <c r="G5" s="5">
        <f t="shared" ca="1" si="0"/>
        <v>33</v>
      </c>
      <c r="H5" s="4" t="s">
        <v>133</v>
      </c>
      <c r="I5" s="4" t="s">
        <v>140</v>
      </c>
      <c r="J5" s="4">
        <v>100000</v>
      </c>
    </row>
    <row r="6" spans="1:10">
      <c r="A6" s="4" t="s">
        <v>115</v>
      </c>
      <c r="B6" s="4" t="s">
        <v>116</v>
      </c>
      <c r="C6" s="4" t="s">
        <v>114</v>
      </c>
      <c r="D6" s="4" t="s">
        <v>13</v>
      </c>
      <c r="E6" s="1">
        <v>33771</v>
      </c>
      <c r="F6" s="1">
        <v>44523</v>
      </c>
      <c r="G6" s="5">
        <f t="shared" ca="1" si="0"/>
        <v>30</v>
      </c>
      <c r="H6" s="4" t="s">
        <v>144</v>
      </c>
      <c r="I6" s="4" t="s">
        <v>145</v>
      </c>
      <c r="J6" s="4">
        <v>70034</v>
      </c>
    </row>
    <row r="7" spans="1:10">
      <c r="A7" s="4" t="s">
        <v>78</v>
      </c>
      <c r="B7" s="4" t="s">
        <v>79</v>
      </c>
      <c r="C7" s="4" t="s">
        <v>41</v>
      </c>
      <c r="D7" s="4" t="s">
        <v>13</v>
      </c>
      <c r="E7" s="1">
        <v>28136</v>
      </c>
      <c r="F7" s="1">
        <v>44507</v>
      </c>
      <c r="G7" s="5">
        <f t="shared" ca="1" si="0"/>
        <v>45</v>
      </c>
      <c r="H7" s="4" t="s">
        <v>148</v>
      </c>
      <c r="I7" s="4" t="s">
        <v>149</v>
      </c>
      <c r="J7" s="4">
        <v>40000</v>
      </c>
    </row>
    <row r="8" spans="1:10">
      <c r="A8" s="4" t="s">
        <v>47</v>
      </c>
      <c r="B8" s="4" t="s">
        <v>48</v>
      </c>
      <c r="C8" s="4" t="s">
        <v>46</v>
      </c>
      <c r="D8" s="4" t="s">
        <v>13</v>
      </c>
      <c r="E8" s="1">
        <v>33082</v>
      </c>
      <c r="F8" s="1">
        <v>44495</v>
      </c>
      <c r="G8" s="5">
        <f t="shared" ca="1" si="0"/>
        <v>32</v>
      </c>
      <c r="H8" s="4" t="s">
        <v>133</v>
      </c>
      <c r="I8" s="4" t="s">
        <v>140</v>
      </c>
      <c r="J8" s="4">
        <v>31000</v>
      </c>
    </row>
    <row r="9" spans="1:10">
      <c r="A9" s="4" t="s">
        <v>30</v>
      </c>
      <c r="B9" s="4" t="s">
        <v>28</v>
      </c>
      <c r="C9" s="4" t="s">
        <v>29</v>
      </c>
      <c r="D9" s="4" t="s">
        <v>16</v>
      </c>
      <c r="E9" s="1">
        <v>33856</v>
      </c>
      <c r="F9" s="1">
        <v>44488</v>
      </c>
      <c r="G9" s="5">
        <f t="shared" ca="1" si="0"/>
        <v>30</v>
      </c>
      <c r="H9" s="4" t="s">
        <v>144</v>
      </c>
      <c r="I9" s="4" t="s">
        <v>147</v>
      </c>
      <c r="J9" s="4">
        <v>70034</v>
      </c>
    </row>
    <row r="10" spans="1:10">
      <c r="A10" s="4" t="s">
        <v>43</v>
      </c>
      <c r="B10" s="4" t="s">
        <v>42</v>
      </c>
      <c r="C10" s="4" t="s">
        <v>41</v>
      </c>
      <c r="D10" s="4" t="s">
        <v>13</v>
      </c>
      <c r="E10" s="1">
        <v>29013</v>
      </c>
      <c r="F10" s="1">
        <v>44493</v>
      </c>
      <c r="G10" s="5">
        <f t="shared" ca="1" si="0"/>
        <v>43</v>
      </c>
      <c r="H10" s="4" t="s">
        <v>148</v>
      </c>
      <c r="I10" s="4" t="s">
        <v>149</v>
      </c>
      <c r="J10" s="4">
        <v>70034</v>
      </c>
    </row>
    <row r="11" spans="1:10">
      <c r="A11" s="4" t="s">
        <v>112</v>
      </c>
      <c r="B11" s="4" t="s">
        <v>113</v>
      </c>
      <c r="C11" s="4" t="s">
        <v>111</v>
      </c>
      <c r="D11" s="4" t="s">
        <v>13</v>
      </c>
      <c r="E11" s="1">
        <v>32297</v>
      </c>
      <c r="F11" s="1">
        <v>44522</v>
      </c>
      <c r="G11" s="5">
        <f t="shared" ca="1" si="0"/>
        <v>34</v>
      </c>
      <c r="H11" s="4" t="s">
        <v>133</v>
      </c>
      <c r="I11" s="4" t="s">
        <v>137</v>
      </c>
      <c r="J11" s="4">
        <v>80000</v>
      </c>
    </row>
    <row r="12" spans="1:10">
      <c r="A12" s="4" t="s">
        <v>107</v>
      </c>
      <c r="B12" s="4" t="s">
        <v>108</v>
      </c>
      <c r="C12" s="4" t="s">
        <v>66</v>
      </c>
      <c r="D12" s="4" t="s">
        <v>16</v>
      </c>
      <c r="E12" s="1">
        <v>29547</v>
      </c>
      <c r="F12" s="1">
        <v>44520</v>
      </c>
      <c r="G12" s="5">
        <f t="shared" ca="1" si="0"/>
        <v>42</v>
      </c>
      <c r="H12" s="4" t="s">
        <v>133</v>
      </c>
      <c r="I12" s="4" t="s">
        <v>138</v>
      </c>
      <c r="J12" s="4">
        <v>100000</v>
      </c>
    </row>
    <row r="13" spans="1:10">
      <c r="A13" s="4" t="s">
        <v>83</v>
      </c>
      <c r="B13" s="4" t="s">
        <v>84</v>
      </c>
      <c r="C13" s="4" t="s">
        <v>82</v>
      </c>
      <c r="D13" s="4" t="s">
        <v>16</v>
      </c>
      <c r="E13" s="1">
        <v>28388</v>
      </c>
      <c r="F13" s="1">
        <v>44509</v>
      </c>
      <c r="G13" s="5">
        <f t="shared" ca="1" si="0"/>
        <v>45</v>
      </c>
      <c r="H13" s="4" t="s">
        <v>133</v>
      </c>
      <c r="I13" s="4" t="s">
        <v>139</v>
      </c>
      <c r="J13" s="4">
        <v>20000</v>
      </c>
    </row>
    <row r="14" spans="1:10">
      <c r="A14" s="4" t="s">
        <v>122</v>
      </c>
      <c r="B14" s="4" t="s">
        <v>123</v>
      </c>
      <c r="C14" s="4" t="s">
        <v>57</v>
      </c>
      <c r="D14" s="4" t="s">
        <v>16</v>
      </c>
      <c r="E14" s="1">
        <v>29808</v>
      </c>
      <c r="F14" s="1">
        <v>44526</v>
      </c>
      <c r="G14" s="5">
        <f t="shared" ca="1" si="0"/>
        <v>41</v>
      </c>
      <c r="H14" s="4" t="s">
        <v>133</v>
      </c>
      <c r="I14" s="4" t="s">
        <v>139</v>
      </c>
      <c r="J14" s="4">
        <v>100000</v>
      </c>
    </row>
    <row r="15" spans="1:10">
      <c r="A15" s="4" t="s">
        <v>61</v>
      </c>
      <c r="B15" s="4" t="s">
        <v>62</v>
      </c>
      <c r="C15" s="4" t="s">
        <v>60</v>
      </c>
      <c r="D15" s="4" t="s">
        <v>13</v>
      </c>
      <c r="E15" s="1">
        <v>28208</v>
      </c>
      <c r="F15" s="1">
        <v>44500</v>
      </c>
      <c r="G15" s="5">
        <f t="shared" ca="1" si="0"/>
        <v>45</v>
      </c>
      <c r="H15" s="4" t="s">
        <v>133</v>
      </c>
      <c r="I15" s="4" t="s">
        <v>139</v>
      </c>
      <c r="J15" s="4">
        <v>31000</v>
      </c>
    </row>
    <row r="16" spans="1:10">
      <c r="A16" s="4" t="s">
        <v>47</v>
      </c>
      <c r="B16" s="4" t="s">
        <v>62</v>
      </c>
      <c r="C16" s="4" t="s">
        <v>20</v>
      </c>
      <c r="D16" s="4" t="s">
        <v>13</v>
      </c>
      <c r="E16" s="1">
        <v>29561</v>
      </c>
      <c r="F16" s="1">
        <v>44512</v>
      </c>
      <c r="G16" s="5">
        <f t="shared" ca="1" si="0"/>
        <v>42</v>
      </c>
      <c r="H16" s="4" t="s">
        <v>133</v>
      </c>
      <c r="I16" s="4" t="s">
        <v>138</v>
      </c>
      <c r="J16" s="4">
        <v>100000</v>
      </c>
    </row>
    <row r="17" spans="1:10">
      <c r="A17" s="4" t="s">
        <v>68</v>
      </c>
      <c r="B17" s="4" t="s">
        <v>69</v>
      </c>
      <c r="C17" s="4" t="s">
        <v>34</v>
      </c>
      <c r="D17" s="4" t="s">
        <v>16</v>
      </c>
      <c r="E17" s="1">
        <v>27489</v>
      </c>
      <c r="F17" s="1">
        <v>44503</v>
      </c>
      <c r="G17" s="5">
        <f t="shared" ca="1" si="0"/>
        <v>47</v>
      </c>
      <c r="H17" s="4" t="s">
        <v>144</v>
      </c>
      <c r="I17" s="4" t="s">
        <v>146</v>
      </c>
      <c r="J17" s="4">
        <v>20000</v>
      </c>
    </row>
    <row r="18" spans="1:10">
      <c r="A18" s="4" t="s">
        <v>92</v>
      </c>
      <c r="B18" s="4" t="s">
        <v>93</v>
      </c>
      <c r="C18" s="4" t="s">
        <v>20</v>
      </c>
      <c r="D18" s="4" t="s">
        <v>13</v>
      </c>
      <c r="E18" s="1">
        <v>28186</v>
      </c>
      <c r="F18" s="1">
        <v>44514</v>
      </c>
      <c r="G18" s="5">
        <f t="shared" ca="1" si="0"/>
        <v>45</v>
      </c>
      <c r="H18" s="4" t="s">
        <v>133</v>
      </c>
      <c r="I18" s="4" t="s">
        <v>138</v>
      </c>
      <c r="J18" s="4">
        <v>31000</v>
      </c>
    </row>
    <row r="19" spans="1:10">
      <c r="A19" s="4" t="s">
        <v>109</v>
      </c>
      <c r="B19" s="4" t="s">
        <v>110</v>
      </c>
      <c r="C19" s="4" t="s">
        <v>20</v>
      </c>
      <c r="D19" s="4" t="s">
        <v>13</v>
      </c>
      <c r="E19" s="1">
        <v>28277</v>
      </c>
      <c r="F19" s="1">
        <v>44521</v>
      </c>
      <c r="G19" s="5">
        <f t="shared" ca="1" si="0"/>
        <v>45</v>
      </c>
      <c r="H19" s="4" t="s">
        <v>133</v>
      </c>
      <c r="I19" s="4" t="s">
        <v>137</v>
      </c>
      <c r="J19" s="4">
        <v>80000</v>
      </c>
    </row>
    <row r="20" spans="1:10">
      <c r="A20" s="4" t="s">
        <v>10</v>
      </c>
      <c r="B20" s="4" t="s">
        <v>153</v>
      </c>
      <c r="C20" s="4" t="s">
        <v>12</v>
      </c>
      <c r="D20" s="4" t="s">
        <v>13</v>
      </c>
      <c r="E20" s="1">
        <v>30722</v>
      </c>
      <c r="F20" s="1">
        <v>44482</v>
      </c>
      <c r="G20" s="5">
        <f t="shared" ca="1" si="0"/>
        <v>38</v>
      </c>
      <c r="H20" s="4" t="s">
        <v>133</v>
      </c>
      <c r="I20" s="4" t="s">
        <v>141</v>
      </c>
      <c r="J20" s="4">
        <v>20000</v>
      </c>
    </row>
    <row r="21" spans="1:10">
      <c r="A21" s="4" t="s">
        <v>58</v>
      </c>
      <c r="B21" s="4" t="s">
        <v>59</v>
      </c>
      <c r="C21" s="4" t="s">
        <v>57</v>
      </c>
      <c r="D21" s="4" t="s">
        <v>16</v>
      </c>
      <c r="E21" s="1">
        <v>30716</v>
      </c>
      <c r="F21" s="1">
        <v>44499</v>
      </c>
      <c r="G21" s="5">
        <f t="shared" ca="1" si="0"/>
        <v>38</v>
      </c>
      <c r="H21" s="4" t="s">
        <v>133</v>
      </c>
      <c r="I21" s="4" t="s">
        <v>137</v>
      </c>
      <c r="J21" s="4">
        <v>20000</v>
      </c>
    </row>
    <row r="22" spans="1:10">
      <c r="A22" s="4" t="s">
        <v>50</v>
      </c>
      <c r="B22" s="4" t="s">
        <v>51</v>
      </c>
      <c r="C22" s="4" t="s">
        <v>49</v>
      </c>
      <c r="D22" s="4" t="s">
        <v>13</v>
      </c>
      <c r="E22" s="1">
        <v>28967</v>
      </c>
      <c r="F22" s="1">
        <v>44496</v>
      </c>
      <c r="G22" s="5">
        <f t="shared" ca="1" si="0"/>
        <v>43</v>
      </c>
      <c r="H22" s="4" t="s">
        <v>133</v>
      </c>
      <c r="I22" s="4" t="s">
        <v>137</v>
      </c>
      <c r="J22" s="4">
        <v>100000</v>
      </c>
    </row>
    <row r="23" spans="1:10">
      <c r="A23" s="4" t="s">
        <v>17</v>
      </c>
      <c r="B23" s="4" t="s">
        <v>18</v>
      </c>
      <c r="C23" s="4" t="s">
        <v>19</v>
      </c>
      <c r="D23" s="4" t="s">
        <v>13</v>
      </c>
      <c r="E23" s="1">
        <v>31518</v>
      </c>
      <c r="F23" s="1">
        <v>44484</v>
      </c>
      <c r="G23" s="5">
        <f t="shared" ca="1" si="0"/>
        <v>36</v>
      </c>
      <c r="H23" s="4" t="s">
        <v>133</v>
      </c>
      <c r="I23" s="4" t="s">
        <v>140</v>
      </c>
      <c r="J23" s="4">
        <v>20000</v>
      </c>
    </row>
    <row r="24" spans="1:10">
      <c r="A24" s="4" t="s">
        <v>91</v>
      </c>
      <c r="B24" s="4" t="s">
        <v>18</v>
      </c>
      <c r="C24" s="4" t="s">
        <v>90</v>
      </c>
      <c r="D24" s="4" t="s">
        <v>13</v>
      </c>
      <c r="E24" s="1">
        <v>33214</v>
      </c>
      <c r="F24" s="1">
        <v>44513</v>
      </c>
      <c r="G24" s="5">
        <f t="shared" ca="1" si="0"/>
        <v>32</v>
      </c>
      <c r="H24" s="4" t="s">
        <v>144</v>
      </c>
      <c r="I24" s="4" t="s">
        <v>146</v>
      </c>
      <c r="J24" s="4">
        <v>100000</v>
      </c>
    </row>
    <row r="25" spans="1:10">
      <c r="A25" s="4" t="s">
        <v>150</v>
      </c>
      <c r="B25" s="4" t="s">
        <v>26</v>
      </c>
      <c r="C25" s="4" t="s">
        <v>27</v>
      </c>
      <c r="D25" s="4" t="s">
        <v>16</v>
      </c>
      <c r="E25" s="1">
        <v>31216</v>
      </c>
      <c r="F25" s="1">
        <v>44487</v>
      </c>
      <c r="G25" s="5">
        <f t="shared" ca="1" si="0"/>
        <v>37</v>
      </c>
      <c r="H25" s="4" t="s">
        <v>144</v>
      </c>
      <c r="I25" s="4" t="s">
        <v>147</v>
      </c>
      <c r="J25" s="4">
        <v>20000</v>
      </c>
    </row>
    <row r="26" spans="1:10">
      <c r="A26" s="4" t="s">
        <v>120</v>
      </c>
      <c r="B26" s="4" t="s">
        <v>121</v>
      </c>
      <c r="C26" s="4" t="s">
        <v>119</v>
      </c>
      <c r="D26" s="4" t="s">
        <v>13</v>
      </c>
      <c r="E26" s="1">
        <v>27732</v>
      </c>
      <c r="F26" s="1">
        <v>44525</v>
      </c>
      <c r="G26" s="5">
        <f t="shared" ca="1" si="0"/>
        <v>47</v>
      </c>
      <c r="H26" s="4" t="s">
        <v>133</v>
      </c>
      <c r="I26" s="4" t="s">
        <v>137</v>
      </c>
      <c r="J26" s="4">
        <v>100000</v>
      </c>
    </row>
    <row r="27" spans="1:10">
      <c r="A27" s="4" t="s">
        <v>129</v>
      </c>
      <c r="B27" s="4" t="s">
        <v>121</v>
      </c>
      <c r="C27" s="4" t="s">
        <v>128</v>
      </c>
      <c r="D27" s="4" t="s">
        <v>13</v>
      </c>
      <c r="E27" s="1">
        <v>32293</v>
      </c>
      <c r="F27" s="1">
        <v>44529</v>
      </c>
      <c r="G27" s="5">
        <f t="shared" ca="1" si="0"/>
        <v>34</v>
      </c>
      <c r="H27" s="4" t="s">
        <v>148</v>
      </c>
      <c r="I27" s="4" t="s">
        <v>149</v>
      </c>
      <c r="J27" s="4">
        <v>40000</v>
      </c>
    </row>
    <row r="28" spans="1:10">
      <c r="A28" s="4" t="s">
        <v>151</v>
      </c>
      <c r="B28" s="4" t="s">
        <v>45</v>
      </c>
      <c r="C28" s="4" t="s">
        <v>44</v>
      </c>
      <c r="D28" s="4" t="s">
        <v>13</v>
      </c>
      <c r="E28" s="1">
        <v>27847</v>
      </c>
      <c r="F28" s="1">
        <v>44494</v>
      </c>
      <c r="G28" s="5">
        <f t="shared" ca="1" si="0"/>
        <v>46</v>
      </c>
      <c r="H28" s="4" t="s">
        <v>133</v>
      </c>
      <c r="I28" s="4" t="s">
        <v>137</v>
      </c>
      <c r="J28" s="4">
        <v>100000</v>
      </c>
    </row>
    <row r="29" spans="1:10">
      <c r="A29" s="4" t="s">
        <v>33</v>
      </c>
      <c r="B29" s="4" t="s">
        <v>32</v>
      </c>
      <c r="C29" s="4" t="s">
        <v>34</v>
      </c>
      <c r="D29" s="4" t="s">
        <v>16</v>
      </c>
      <c r="E29" s="1">
        <v>31887</v>
      </c>
      <c r="F29" s="1">
        <v>44490</v>
      </c>
      <c r="G29" s="5">
        <f t="shared" ca="1" si="0"/>
        <v>35</v>
      </c>
      <c r="H29" s="4" t="s">
        <v>133</v>
      </c>
      <c r="I29" s="4" t="s">
        <v>137</v>
      </c>
      <c r="J29" s="4">
        <v>70034</v>
      </c>
    </row>
    <row r="30" spans="1:10">
      <c r="A30" s="4" t="s">
        <v>67</v>
      </c>
      <c r="B30" s="4" t="s">
        <v>32</v>
      </c>
      <c r="C30" s="4" t="s">
        <v>66</v>
      </c>
      <c r="D30" s="4" t="s">
        <v>16</v>
      </c>
      <c r="E30" s="1">
        <v>29640</v>
      </c>
      <c r="F30" s="1">
        <v>44502</v>
      </c>
      <c r="G30" s="5">
        <f t="shared" ca="1" si="0"/>
        <v>41</v>
      </c>
      <c r="H30" s="4" t="s">
        <v>144</v>
      </c>
      <c r="I30" s="4" t="s">
        <v>145</v>
      </c>
      <c r="J30" s="4">
        <v>20000</v>
      </c>
    </row>
    <row r="31" spans="1:10">
      <c r="A31" s="4" t="s">
        <v>81</v>
      </c>
      <c r="B31" s="4" t="s">
        <v>32</v>
      </c>
      <c r="C31" s="4" t="s">
        <v>80</v>
      </c>
      <c r="D31" s="4" t="s">
        <v>16</v>
      </c>
      <c r="E31" s="1">
        <v>30702</v>
      </c>
      <c r="F31" s="1">
        <v>44508</v>
      </c>
      <c r="G31" s="5">
        <f t="shared" ca="1" si="0"/>
        <v>38</v>
      </c>
      <c r="H31" s="4" t="s">
        <v>133</v>
      </c>
      <c r="I31" s="4" t="s">
        <v>138</v>
      </c>
      <c r="J31" s="4">
        <v>100000</v>
      </c>
    </row>
    <row r="32" spans="1:10">
      <c r="A32" s="4" t="s">
        <v>105</v>
      </c>
      <c r="B32" s="4" t="s">
        <v>106</v>
      </c>
      <c r="C32" s="4" t="s">
        <v>104</v>
      </c>
      <c r="D32" s="4" t="s">
        <v>16</v>
      </c>
      <c r="E32" s="1">
        <v>32382</v>
      </c>
      <c r="F32" s="1">
        <v>44519</v>
      </c>
      <c r="G32" s="5">
        <f t="shared" ca="1" si="0"/>
        <v>34</v>
      </c>
      <c r="H32" s="4" t="s">
        <v>148</v>
      </c>
      <c r="I32" s="4" t="s">
        <v>149</v>
      </c>
      <c r="J32" s="4">
        <v>70034</v>
      </c>
    </row>
    <row r="33" spans="1:10">
      <c r="A33" s="4" t="s">
        <v>85</v>
      </c>
      <c r="B33" s="4" t="s">
        <v>86</v>
      </c>
      <c r="C33" s="4" t="s">
        <v>73</v>
      </c>
      <c r="D33" s="4" t="s">
        <v>16</v>
      </c>
      <c r="E33" s="1">
        <v>33174</v>
      </c>
      <c r="F33" s="1">
        <v>44510</v>
      </c>
      <c r="G33" s="5">
        <f t="shared" ca="1" si="0"/>
        <v>32</v>
      </c>
      <c r="H33" s="4" t="s">
        <v>133</v>
      </c>
      <c r="I33" s="4" t="s">
        <v>138</v>
      </c>
      <c r="J33" s="4">
        <v>21310</v>
      </c>
    </row>
    <row r="34" spans="1:10">
      <c r="A34" s="4" t="s">
        <v>99</v>
      </c>
      <c r="B34" s="4" t="s">
        <v>98</v>
      </c>
      <c r="C34" s="4" t="s">
        <v>100</v>
      </c>
      <c r="D34" s="4" t="s">
        <v>13</v>
      </c>
      <c r="E34" s="1">
        <v>33678</v>
      </c>
      <c r="F34" s="1">
        <v>44517</v>
      </c>
      <c r="G34" s="5">
        <f t="shared" ref="G34:G50" ca="1" si="1">INT(YEAR(TODAY()))-INT(YEAR(E34))</f>
        <v>30</v>
      </c>
      <c r="H34" s="4" t="s">
        <v>133</v>
      </c>
      <c r="I34" s="4" t="s">
        <v>138</v>
      </c>
      <c r="J34" s="4">
        <v>20000</v>
      </c>
    </row>
    <row r="35" spans="1:10">
      <c r="A35" s="4" t="s">
        <v>88</v>
      </c>
      <c r="B35" s="4" t="s">
        <v>89</v>
      </c>
      <c r="C35" s="4" t="s">
        <v>87</v>
      </c>
      <c r="D35" s="4" t="s">
        <v>13</v>
      </c>
      <c r="E35" s="1">
        <v>31904</v>
      </c>
      <c r="F35" s="1">
        <v>44511</v>
      </c>
      <c r="G35" s="5">
        <f t="shared" ca="1" si="1"/>
        <v>35</v>
      </c>
      <c r="H35" s="4" t="s">
        <v>133</v>
      </c>
      <c r="I35" s="4" t="s">
        <v>142</v>
      </c>
      <c r="J35" s="4">
        <v>31000</v>
      </c>
    </row>
    <row r="36" spans="1:10">
      <c r="A36" s="4" t="s">
        <v>102</v>
      </c>
      <c r="B36" s="4" t="s">
        <v>101</v>
      </c>
      <c r="C36" s="4" t="s">
        <v>103</v>
      </c>
      <c r="D36" s="4" t="s">
        <v>13</v>
      </c>
      <c r="E36" s="1">
        <v>30463</v>
      </c>
      <c r="F36" s="1">
        <v>44518</v>
      </c>
      <c r="G36" s="5">
        <f t="shared" ca="1" si="1"/>
        <v>39</v>
      </c>
      <c r="H36" s="4" t="s">
        <v>133</v>
      </c>
      <c r="I36" s="4" t="s">
        <v>139</v>
      </c>
      <c r="J36" s="4">
        <v>20000</v>
      </c>
    </row>
    <row r="37" spans="1:10">
      <c r="A37" s="4" t="s">
        <v>55</v>
      </c>
      <c r="B37" s="4" t="s">
        <v>56</v>
      </c>
      <c r="C37" s="4" t="s">
        <v>54</v>
      </c>
      <c r="D37" s="4" t="s">
        <v>13</v>
      </c>
      <c r="E37" s="1">
        <v>31684</v>
      </c>
      <c r="F37" s="1">
        <v>44498</v>
      </c>
      <c r="G37" s="5">
        <f t="shared" ca="1" si="1"/>
        <v>36</v>
      </c>
      <c r="H37" s="4" t="s">
        <v>144</v>
      </c>
      <c r="I37" s="4" t="s">
        <v>145</v>
      </c>
      <c r="J37" s="4">
        <v>20000</v>
      </c>
    </row>
    <row r="38" spans="1:10">
      <c r="A38" s="4" t="s">
        <v>125</v>
      </c>
      <c r="B38" s="4" t="s">
        <v>126</v>
      </c>
      <c r="C38" s="4" t="s">
        <v>124</v>
      </c>
      <c r="D38" s="4" t="s">
        <v>13</v>
      </c>
      <c r="E38" s="1">
        <v>29109</v>
      </c>
      <c r="F38" s="1">
        <v>44527</v>
      </c>
      <c r="G38" s="5">
        <f t="shared" ca="1" si="1"/>
        <v>43</v>
      </c>
      <c r="H38" s="4" t="s">
        <v>133</v>
      </c>
      <c r="I38" s="4" t="s">
        <v>137</v>
      </c>
      <c r="J38" s="4">
        <v>211000</v>
      </c>
    </row>
    <row r="39" spans="1:10">
      <c r="A39" s="4" t="s">
        <v>134</v>
      </c>
      <c r="B39" s="4" t="s">
        <v>135</v>
      </c>
      <c r="C39" s="4" t="s">
        <v>136</v>
      </c>
      <c r="D39" s="4" t="s">
        <v>16</v>
      </c>
      <c r="E39" s="1">
        <v>30198</v>
      </c>
      <c r="F39" s="1">
        <v>44489</v>
      </c>
      <c r="G39" s="5">
        <f t="shared" ca="1" si="1"/>
        <v>40</v>
      </c>
      <c r="H39" s="4" t="s">
        <v>133</v>
      </c>
      <c r="I39" s="4" t="s">
        <v>140</v>
      </c>
      <c r="J39" s="4">
        <v>21310</v>
      </c>
    </row>
    <row r="40" spans="1:10">
      <c r="A40" s="4" t="s">
        <v>24</v>
      </c>
      <c r="B40" s="4" t="s">
        <v>25</v>
      </c>
      <c r="C40" s="4" t="s">
        <v>23</v>
      </c>
      <c r="D40" s="4" t="s">
        <v>13</v>
      </c>
      <c r="E40" s="1">
        <v>33806</v>
      </c>
      <c r="F40" s="1">
        <v>44486</v>
      </c>
      <c r="G40" s="5">
        <f t="shared" ca="1" si="1"/>
        <v>30</v>
      </c>
      <c r="H40" s="4" t="s">
        <v>133</v>
      </c>
      <c r="I40" s="4" t="s">
        <v>137</v>
      </c>
      <c r="J40" s="4">
        <v>70034</v>
      </c>
    </row>
    <row r="41" spans="1:10">
      <c r="A41" s="4" t="s">
        <v>127</v>
      </c>
      <c r="B41" s="4" t="s">
        <v>25</v>
      </c>
      <c r="C41" s="4" t="s">
        <v>90</v>
      </c>
      <c r="D41" s="4" t="s">
        <v>13</v>
      </c>
      <c r="E41" s="1">
        <v>30009</v>
      </c>
      <c r="F41" s="1">
        <v>44528</v>
      </c>
      <c r="G41" s="5">
        <f t="shared" ca="1" si="1"/>
        <v>40</v>
      </c>
      <c r="H41" s="4" t="s">
        <v>144</v>
      </c>
      <c r="I41" s="4" t="s">
        <v>146</v>
      </c>
      <c r="J41" s="4">
        <v>70034</v>
      </c>
    </row>
    <row r="42" spans="1:10">
      <c r="A42" s="4" t="s">
        <v>150</v>
      </c>
      <c r="B42" s="4" t="s">
        <v>14</v>
      </c>
      <c r="C42" s="4" t="s">
        <v>15</v>
      </c>
      <c r="D42" s="4" t="s">
        <v>16</v>
      </c>
      <c r="E42" s="2">
        <v>33057</v>
      </c>
      <c r="F42" s="1">
        <v>44483</v>
      </c>
      <c r="G42" s="5">
        <f t="shared" ca="1" si="1"/>
        <v>32</v>
      </c>
      <c r="H42" s="4" t="s">
        <v>133</v>
      </c>
      <c r="I42" s="4" t="s">
        <v>139</v>
      </c>
      <c r="J42" s="4">
        <v>20000</v>
      </c>
    </row>
    <row r="43" spans="1:10">
      <c r="A43" s="4" t="s">
        <v>53</v>
      </c>
      <c r="B43" s="4" t="s">
        <v>14</v>
      </c>
      <c r="C43" s="4" t="s">
        <v>52</v>
      </c>
      <c r="D43" s="4" t="s">
        <v>16</v>
      </c>
      <c r="E43" s="1">
        <v>30813</v>
      </c>
      <c r="F43" s="1">
        <v>44497</v>
      </c>
      <c r="G43" s="5">
        <f t="shared" ca="1" si="1"/>
        <v>38</v>
      </c>
      <c r="H43" s="4" t="s">
        <v>133</v>
      </c>
      <c r="I43" s="4" t="s">
        <v>139</v>
      </c>
      <c r="J43" s="4">
        <v>20000</v>
      </c>
    </row>
    <row r="44" spans="1:10">
      <c r="A44" s="4" t="s">
        <v>71</v>
      </c>
      <c r="B44" s="4" t="s">
        <v>72</v>
      </c>
      <c r="C44" s="4" t="s">
        <v>70</v>
      </c>
      <c r="D44" s="4" t="s">
        <v>16</v>
      </c>
      <c r="E44" s="1">
        <v>32912</v>
      </c>
      <c r="F44" s="1">
        <v>44504</v>
      </c>
      <c r="G44" s="5">
        <f t="shared" ca="1" si="1"/>
        <v>32</v>
      </c>
      <c r="H44" s="4" t="s">
        <v>148</v>
      </c>
      <c r="I44" s="4" t="s">
        <v>149</v>
      </c>
      <c r="J44" s="4">
        <v>20000</v>
      </c>
    </row>
    <row r="45" spans="1:10">
      <c r="A45" s="4" t="s">
        <v>64</v>
      </c>
      <c r="B45" s="4" t="s">
        <v>65</v>
      </c>
      <c r="C45" s="4" t="s">
        <v>63</v>
      </c>
      <c r="D45" s="4" t="s">
        <v>13</v>
      </c>
      <c r="E45" s="1">
        <v>30065</v>
      </c>
      <c r="F45" s="1">
        <v>44501</v>
      </c>
      <c r="G45" s="5">
        <f t="shared" ca="1" si="1"/>
        <v>40</v>
      </c>
      <c r="H45" s="4" t="s">
        <v>144</v>
      </c>
      <c r="I45" s="4" t="s">
        <v>146</v>
      </c>
      <c r="J45" s="4">
        <v>31000</v>
      </c>
    </row>
    <row r="46" spans="1:10">
      <c r="A46" s="4" t="s">
        <v>77</v>
      </c>
      <c r="B46" s="4" t="s">
        <v>65</v>
      </c>
      <c r="C46" s="4" t="s">
        <v>76</v>
      </c>
      <c r="D46" s="4" t="s">
        <v>13</v>
      </c>
      <c r="E46" s="1">
        <v>28784</v>
      </c>
      <c r="F46" s="1">
        <v>44506</v>
      </c>
      <c r="G46" s="5">
        <f t="shared" ca="1" si="1"/>
        <v>44</v>
      </c>
      <c r="H46" s="4" t="s">
        <v>133</v>
      </c>
      <c r="I46" s="4" t="s">
        <v>139</v>
      </c>
      <c r="J46" s="4">
        <v>100000</v>
      </c>
    </row>
    <row r="47" spans="1:10">
      <c r="A47" s="4" t="s">
        <v>131</v>
      </c>
      <c r="B47" s="4" t="s">
        <v>132</v>
      </c>
      <c r="C47" s="4" t="s">
        <v>130</v>
      </c>
      <c r="D47" s="4" t="s">
        <v>13</v>
      </c>
      <c r="E47" s="1">
        <v>31213</v>
      </c>
      <c r="F47" s="1">
        <v>44530</v>
      </c>
      <c r="G47" s="5">
        <f t="shared" ca="1" si="1"/>
        <v>37</v>
      </c>
      <c r="H47" s="4" t="s">
        <v>133</v>
      </c>
      <c r="I47" s="4" t="s">
        <v>143</v>
      </c>
      <c r="J47" s="4">
        <v>21310</v>
      </c>
    </row>
    <row r="48" spans="1:10">
      <c r="A48" s="4" t="s">
        <v>37</v>
      </c>
      <c r="B48" s="4" t="s">
        <v>36</v>
      </c>
      <c r="C48" s="4" t="s">
        <v>35</v>
      </c>
      <c r="D48" s="4" t="s">
        <v>16</v>
      </c>
      <c r="E48" s="1">
        <v>28013</v>
      </c>
      <c r="F48" s="1">
        <v>44491</v>
      </c>
      <c r="G48" s="5">
        <f t="shared" ca="1" si="1"/>
        <v>46</v>
      </c>
      <c r="H48" s="4" t="s">
        <v>148</v>
      </c>
      <c r="I48" s="4" t="s">
        <v>149</v>
      </c>
      <c r="J48" s="4">
        <v>70034</v>
      </c>
    </row>
    <row r="49" spans="1:10">
      <c r="A49" s="4" t="s">
        <v>74</v>
      </c>
      <c r="B49" s="4" t="s">
        <v>75</v>
      </c>
      <c r="C49" s="4" t="s">
        <v>73</v>
      </c>
      <c r="D49" s="4" t="s">
        <v>16</v>
      </c>
      <c r="E49" s="1">
        <v>29576</v>
      </c>
      <c r="F49" s="1">
        <v>44505</v>
      </c>
      <c r="G49" s="5">
        <f t="shared" ca="1" si="1"/>
        <v>42</v>
      </c>
      <c r="H49" s="4" t="s">
        <v>133</v>
      </c>
      <c r="I49" s="4" t="s">
        <v>138</v>
      </c>
      <c r="J49" s="4">
        <v>31000</v>
      </c>
    </row>
    <row r="50" spans="1:10">
      <c r="A50" s="4" t="s">
        <v>96</v>
      </c>
      <c r="B50" s="4" t="s">
        <v>95</v>
      </c>
      <c r="C50" s="4" t="s">
        <v>97</v>
      </c>
      <c r="D50" s="4" t="s">
        <v>16</v>
      </c>
      <c r="E50" s="1">
        <v>28780</v>
      </c>
      <c r="F50" s="1">
        <v>44516</v>
      </c>
      <c r="G50" s="5">
        <f t="shared" ca="1" si="1"/>
        <v>44</v>
      </c>
      <c r="H50" s="4" t="s">
        <v>133</v>
      </c>
      <c r="I50" s="4" t="s">
        <v>137</v>
      </c>
      <c r="J50" s="4">
        <v>20000</v>
      </c>
    </row>
  </sheetData>
  <sortState ref="A2:J50">
    <sortCondition ref="B1"/>
  </sortState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D22" sqref="D22"/>
    </sheetView>
  </sheetViews>
  <sheetFormatPr defaultRowHeight="15"/>
  <cols>
    <col min="1" max="1" width="19.42578125" customWidth="1"/>
    <col min="2" max="2" width="22.140625" customWidth="1"/>
    <col min="3" max="3" width="23.7109375" customWidth="1"/>
    <col min="5" max="5" width="15.28515625" customWidth="1"/>
    <col min="6" max="6" width="16.42578125" customWidth="1"/>
    <col min="8" max="8" width="18.42578125" customWidth="1"/>
    <col min="9" max="9" width="33.85546875" customWidth="1"/>
    <col min="10" max="10" width="14.8554687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>
      <c r="A2" s="4" t="s">
        <v>96</v>
      </c>
      <c r="B2" s="4" t="s">
        <v>95</v>
      </c>
      <c r="C2" s="4" t="s">
        <v>97</v>
      </c>
      <c r="D2" s="4" t="s">
        <v>16</v>
      </c>
      <c r="E2" s="1">
        <v>28780</v>
      </c>
      <c r="F2" s="1">
        <v>44516</v>
      </c>
      <c r="G2" s="5">
        <f t="shared" ref="G2:G33" ca="1" si="0">INT(YEAR(TODAY()))-INT(YEAR(E2))</f>
        <v>44</v>
      </c>
      <c r="H2" s="4" t="s">
        <v>133</v>
      </c>
      <c r="I2" s="4" t="s">
        <v>137</v>
      </c>
      <c r="J2" s="4">
        <v>20000</v>
      </c>
    </row>
    <row r="3" spans="1:10">
      <c r="A3" s="4" t="s">
        <v>134</v>
      </c>
      <c r="B3" s="4" t="s">
        <v>135</v>
      </c>
      <c r="C3" s="4" t="s">
        <v>136</v>
      </c>
      <c r="D3" s="4" t="s">
        <v>16</v>
      </c>
      <c r="E3" s="1">
        <v>30198</v>
      </c>
      <c r="F3" s="1">
        <v>44489</v>
      </c>
      <c r="G3" s="5">
        <f t="shared" ca="1" si="0"/>
        <v>40</v>
      </c>
      <c r="H3" s="4" t="s">
        <v>133</v>
      </c>
      <c r="I3" s="4" t="s">
        <v>140</v>
      </c>
      <c r="J3" s="4">
        <v>21310</v>
      </c>
    </row>
    <row r="4" spans="1:10">
      <c r="A4" s="4" t="s">
        <v>77</v>
      </c>
      <c r="B4" s="4" t="s">
        <v>65</v>
      </c>
      <c r="C4" s="4" t="s">
        <v>76</v>
      </c>
      <c r="D4" s="4" t="s">
        <v>13</v>
      </c>
      <c r="E4" s="1">
        <v>28784</v>
      </c>
      <c r="F4" s="1">
        <v>44506</v>
      </c>
      <c r="G4" s="5">
        <f t="shared" ca="1" si="0"/>
        <v>44</v>
      </c>
      <c r="H4" s="4" t="s">
        <v>133</v>
      </c>
      <c r="I4" s="4" t="s">
        <v>139</v>
      </c>
      <c r="J4" s="4">
        <v>100000</v>
      </c>
    </row>
    <row r="5" spans="1:10">
      <c r="A5" s="4" t="s">
        <v>117</v>
      </c>
      <c r="B5" s="4" t="s">
        <v>118</v>
      </c>
      <c r="C5" s="4" t="s">
        <v>76</v>
      </c>
      <c r="D5" s="4" t="s">
        <v>13</v>
      </c>
      <c r="E5" s="1">
        <v>29038</v>
      </c>
      <c r="F5" s="1">
        <v>44524</v>
      </c>
      <c r="G5" s="5">
        <f t="shared" ca="1" si="0"/>
        <v>43</v>
      </c>
      <c r="H5" s="4" t="s">
        <v>133</v>
      </c>
      <c r="I5" s="4" t="s">
        <v>138</v>
      </c>
      <c r="J5" s="4">
        <v>100000</v>
      </c>
    </row>
    <row r="6" spans="1:10">
      <c r="A6" s="4" t="s">
        <v>67</v>
      </c>
      <c r="B6" s="4" t="s">
        <v>32</v>
      </c>
      <c r="C6" s="4" t="s">
        <v>66</v>
      </c>
      <c r="D6" s="4" t="s">
        <v>16</v>
      </c>
      <c r="E6" s="1">
        <v>29640</v>
      </c>
      <c r="F6" s="1">
        <v>44502</v>
      </c>
      <c r="G6" s="5">
        <f t="shared" ca="1" si="0"/>
        <v>41</v>
      </c>
      <c r="H6" s="4" t="s">
        <v>144</v>
      </c>
      <c r="I6" s="4" t="s">
        <v>145</v>
      </c>
      <c r="J6" s="4">
        <v>20000</v>
      </c>
    </row>
    <row r="7" spans="1:10">
      <c r="A7" s="4" t="s">
        <v>94</v>
      </c>
      <c r="B7" s="4" t="s">
        <v>31</v>
      </c>
      <c r="C7" s="4" t="s">
        <v>66</v>
      </c>
      <c r="D7" s="4" t="s">
        <v>16</v>
      </c>
      <c r="E7" s="1">
        <v>29857</v>
      </c>
      <c r="F7" s="1">
        <v>44515</v>
      </c>
      <c r="G7" s="5">
        <f t="shared" ca="1" si="0"/>
        <v>41</v>
      </c>
      <c r="H7" s="4" t="s">
        <v>133</v>
      </c>
      <c r="I7" s="4" t="s">
        <v>137</v>
      </c>
      <c r="J7" s="4">
        <v>31000</v>
      </c>
    </row>
    <row r="8" spans="1:10">
      <c r="A8" s="4" t="s">
        <v>107</v>
      </c>
      <c r="B8" s="4" t="s">
        <v>108</v>
      </c>
      <c r="C8" s="4" t="s">
        <v>66</v>
      </c>
      <c r="D8" s="4" t="s">
        <v>16</v>
      </c>
      <c r="E8" s="1">
        <v>29547</v>
      </c>
      <c r="F8" s="1">
        <v>44520</v>
      </c>
      <c r="G8" s="5">
        <f t="shared" ca="1" si="0"/>
        <v>42</v>
      </c>
      <c r="H8" s="4" t="s">
        <v>133</v>
      </c>
      <c r="I8" s="4" t="s">
        <v>138</v>
      </c>
      <c r="J8" s="4">
        <v>100000</v>
      </c>
    </row>
    <row r="9" spans="1:10">
      <c r="A9" s="4" t="s">
        <v>43</v>
      </c>
      <c r="B9" s="4" t="s">
        <v>42</v>
      </c>
      <c r="C9" s="4" t="s">
        <v>41</v>
      </c>
      <c r="D9" s="4" t="s">
        <v>13</v>
      </c>
      <c r="E9" s="1">
        <v>29013</v>
      </c>
      <c r="F9" s="1">
        <v>44493</v>
      </c>
      <c r="G9" s="5">
        <f t="shared" ca="1" si="0"/>
        <v>43</v>
      </c>
      <c r="H9" s="4" t="s">
        <v>148</v>
      </c>
      <c r="I9" s="4" t="s">
        <v>149</v>
      </c>
      <c r="J9" s="4">
        <v>70034</v>
      </c>
    </row>
    <row r="10" spans="1:10">
      <c r="A10" s="4" t="s">
        <v>78</v>
      </c>
      <c r="B10" s="4" t="s">
        <v>79</v>
      </c>
      <c r="C10" s="4" t="s">
        <v>41</v>
      </c>
      <c r="D10" s="4" t="s">
        <v>13</v>
      </c>
      <c r="E10" s="1">
        <v>28136</v>
      </c>
      <c r="F10" s="1">
        <v>44507</v>
      </c>
      <c r="G10" s="5">
        <f t="shared" ca="1" si="0"/>
        <v>45</v>
      </c>
      <c r="H10" s="4" t="s">
        <v>148</v>
      </c>
      <c r="I10" s="4" t="s">
        <v>149</v>
      </c>
      <c r="J10" s="4">
        <v>40000</v>
      </c>
    </row>
    <row r="11" spans="1:10">
      <c r="A11" s="4" t="s">
        <v>58</v>
      </c>
      <c r="B11" s="4" t="s">
        <v>59</v>
      </c>
      <c r="C11" s="4" t="s">
        <v>57</v>
      </c>
      <c r="D11" s="4" t="s">
        <v>16</v>
      </c>
      <c r="E11" s="1">
        <v>30716</v>
      </c>
      <c r="F11" s="1">
        <v>44499</v>
      </c>
      <c r="G11" s="5">
        <f t="shared" ca="1" si="0"/>
        <v>38</v>
      </c>
      <c r="H11" s="4" t="s">
        <v>133</v>
      </c>
      <c r="I11" s="4" t="s">
        <v>137</v>
      </c>
      <c r="J11" s="4">
        <v>20000</v>
      </c>
    </row>
    <row r="12" spans="1:10">
      <c r="A12" s="4" t="s">
        <v>122</v>
      </c>
      <c r="B12" s="4" t="s">
        <v>123</v>
      </c>
      <c r="C12" s="4" t="s">
        <v>57</v>
      </c>
      <c r="D12" s="4" t="s">
        <v>16</v>
      </c>
      <c r="E12" s="1">
        <v>29808</v>
      </c>
      <c r="F12" s="1">
        <v>44526</v>
      </c>
      <c r="G12" s="5">
        <f t="shared" ca="1" si="0"/>
        <v>41</v>
      </c>
      <c r="H12" s="4" t="s">
        <v>133</v>
      </c>
      <c r="I12" s="4" t="s">
        <v>139</v>
      </c>
      <c r="J12" s="4">
        <v>100000</v>
      </c>
    </row>
    <row r="13" spans="1:10">
      <c r="A13" s="4" t="s">
        <v>125</v>
      </c>
      <c r="B13" s="4" t="s">
        <v>126</v>
      </c>
      <c r="C13" s="4" t="s">
        <v>124</v>
      </c>
      <c r="D13" s="4" t="s">
        <v>13</v>
      </c>
      <c r="E13" s="1">
        <v>29109</v>
      </c>
      <c r="F13" s="1">
        <v>44527</v>
      </c>
      <c r="G13" s="5">
        <f t="shared" ca="1" si="0"/>
        <v>43</v>
      </c>
      <c r="H13" s="4" t="s">
        <v>133</v>
      </c>
      <c r="I13" s="4" t="s">
        <v>137</v>
      </c>
      <c r="J13" s="4">
        <v>211000</v>
      </c>
    </row>
    <row r="14" spans="1:10">
      <c r="A14" s="4" t="s">
        <v>50</v>
      </c>
      <c r="B14" s="4" t="s">
        <v>51</v>
      </c>
      <c r="C14" s="4" t="s">
        <v>49</v>
      </c>
      <c r="D14" s="4" t="s">
        <v>13</v>
      </c>
      <c r="E14" s="1">
        <v>28967</v>
      </c>
      <c r="F14" s="1">
        <v>44496</v>
      </c>
      <c r="G14" s="5">
        <f t="shared" ca="1" si="0"/>
        <v>43</v>
      </c>
      <c r="H14" s="4" t="s">
        <v>133</v>
      </c>
      <c r="I14" s="4" t="s">
        <v>137</v>
      </c>
      <c r="J14" s="4">
        <v>100000</v>
      </c>
    </row>
    <row r="15" spans="1:10">
      <c r="A15" s="4" t="s">
        <v>10</v>
      </c>
      <c r="B15" s="4" t="s">
        <v>11</v>
      </c>
      <c r="C15" s="4" t="s">
        <v>154</v>
      </c>
      <c r="D15" s="4" t="s">
        <v>13</v>
      </c>
      <c r="E15" s="1">
        <v>30722</v>
      </c>
      <c r="F15" s="1">
        <v>44482</v>
      </c>
      <c r="G15" s="5">
        <f t="shared" ca="1" si="0"/>
        <v>38</v>
      </c>
      <c r="H15" s="4" t="s">
        <v>133</v>
      </c>
      <c r="I15" s="4" t="s">
        <v>141</v>
      </c>
      <c r="J15" s="4">
        <v>20000</v>
      </c>
    </row>
    <row r="16" spans="1:10">
      <c r="A16" s="4" t="s">
        <v>61</v>
      </c>
      <c r="B16" s="4" t="s">
        <v>62</v>
      </c>
      <c r="C16" s="4" t="s">
        <v>60</v>
      </c>
      <c r="D16" s="4" t="s">
        <v>13</v>
      </c>
      <c r="E16" s="1">
        <v>28208</v>
      </c>
      <c r="F16" s="1">
        <v>44500</v>
      </c>
      <c r="G16" s="5">
        <f t="shared" ca="1" si="0"/>
        <v>45</v>
      </c>
      <c r="H16" s="4" t="s">
        <v>133</v>
      </c>
      <c r="I16" s="4" t="s">
        <v>139</v>
      </c>
      <c r="J16" s="4">
        <v>31000</v>
      </c>
    </row>
    <row r="17" spans="1:10">
      <c r="A17" s="4" t="s">
        <v>30</v>
      </c>
      <c r="B17" s="4" t="s">
        <v>28</v>
      </c>
      <c r="C17" s="4" t="s">
        <v>29</v>
      </c>
      <c r="D17" s="4" t="s">
        <v>16</v>
      </c>
      <c r="E17" s="1">
        <v>33856</v>
      </c>
      <c r="F17" s="1">
        <v>44488</v>
      </c>
      <c r="G17" s="5">
        <f t="shared" ca="1" si="0"/>
        <v>30</v>
      </c>
      <c r="H17" s="4" t="s">
        <v>144</v>
      </c>
      <c r="I17" s="4" t="s">
        <v>147</v>
      </c>
      <c r="J17" s="4">
        <v>70034</v>
      </c>
    </row>
    <row r="18" spans="1:10">
      <c r="A18" s="4" t="s">
        <v>53</v>
      </c>
      <c r="B18" s="4" t="s">
        <v>14</v>
      </c>
      <c r="C18" s="4" t="s">
        <v>52</v>
      </c>
      <c r="D18" s="4" t="s">
        <v>16</v>
      </c>
      <c r="E18" s="1">
        <v>30813</v>
      </c>
      <c r="F18" s="1">
        <v>44497</v>
      </c>
      <c r="G18" s="5">
        <f t="shared" ca="1" si="0"/>
        <v>38</v>
      </c>
      <c r="H18" s="4" t="s">
        <v>133</v>
      </c>
      <c r="I18" s="4" t="s">
        <v>139</v>
      </c>
      <c r="J18" s="4">
        <v>20000</v>
      </c>
    </row>
    <row r="19" spans="1:10">
      <c r="A19" s="4" t="s">
        <v>91</v>
      </c>
      <c r="B19" s="4" t="s">
        <v>18</v>
      </c>
      <c r="C19" s="4" t="s">
        <v>90</v>
      </c>
      <c r="D19" s="4" t="s">
        <v>13</v>
      </c>
      <c r="E19" s="1">
        <v>33214</v>
      </c>
      <c r="F19" s="1">
        <v>44513</v>
      </c>
      <c r="G19" s="5">
        <f t="shared" ca="1" si="0"/>
        <v>32</v>
      </c>
      <c r="H19" s="4" t="s">
        <v>144</v>
      </c>
      <c r="I19" s="4" t="s">
        <v>146</v>
      </c>
      <c r="J19" s="4">
        <v>100000</v>
      </c>
    </row>
    <row r="20" spans="1:10">
      <c r="A20" s="4" t="s">
        <v>127</v>
      </c>
      <c r="B20" s="4" t="s">
        <v>25</v>
      </c>
      <c r="C20" s="4" t="s">
        <v>90</v>
      </c>
      <c r="D20" s="4" t="s">
        <v>13</v>
      </c>
      <c r="E20" s="1">
        <v>30009</v>
      </c>
      <c r="F20" s="1">
        <v>44528</v>
      </c>
      <c r="G20" s="5">
        <f t="shared" ca="1" si="0"/>
        <v>40</v>
      </c>
      <c r="H20" s="4" t="s">
        <v>144</v>
      </c>
      <c r="I20" s="4" t="s">
        <v>146</v>
      </c>
      <c r="J20" s="4">
        <v>70034</v>
      </c>
    </row>
    <row r="21" spans="1:10">
      <c r="A21" s="4" t="s">
        <v>150</v>
      </c>
      <c r="B21" s="4" t="s">
        <v>26</v>
      </c>
      <c r="C21" s="4" t="s">
        <v>27</v>
      </c>
      <c r="D21" s="4" t="s">
        <v>16</v>
      </c>
      <c r="E21" s="1">
        <v>31216</v>
      </c>
      <c r="F21" s="1">
        <v>44487</v>
      </c>
      <c r="G21" s="5">
        <f t="shared" ca="1" si="0"/>
        <v>37</v>
      </c>
      <c r="H21" s="4" t="s">
        <v>144</v>
      </c>
      <c r="I21" s="4" t="s">
        <v>147</v>
      </c>
      <c r="J21" s="4">
        <v>20000</v>
      </c>
    </row>
    <row r="22" spans="1:10">
      <c r="A22" s="4" t="s">
        <v>99</v>
      </c>
      <c r="B22" s="4" t="s">
        <v>98</v>
      </c>
      <c r="C22" s="4" t="s">
        <v>100</v>
      </c>
      <c r="D22" s="4" t="s">
        <v>13</v>
      </c>
      <c r="E22" s="1">
        <v>33678</v>
      </c>
      <c r="F22" s="1">
        <v>44517</v>
      </c>
      <c r="G22" s="5">
        <f t="shared" ca="1" si="0"/>
        <v>30</v>
      </c>
      <c r="H22" s="4" t="s">
        <v>133</v>
      </c>
      <c r="I22" s="4" t="s">
        <v>138</v>
      </c>
      <c r="J22" s="4">
        <v>20000</v>
      </c>
    </row>
    <row r="23" spans="1:10">
      <c r="A23" s="4" t="s">
        <v>105</v>
      </c>
      <c r="B23" s="4" t="s">
        <v>106</v>
      </c>
      <c r="C23" s="4" t="s">
        <v>104</v>
      </c>
      <c r="D23" s="4" t="s">
        <v>16</v>
      </c>
      <c r="E23" s="1">
        <v>32382</v>
      </c>
      <c r="F23" s="1">
        <v>44519</v>
      </c>
      <c r="G23" s="5">
        <f t="shared" ca="1" si="0"/>
        <v>34</v>
      </c>
      <c r="H23" s="4" t="s">
        <v>148</v>
      </c>
      <c r="I23" s="4" t="s">
        <v>149</v>
      </c>
      <c r="J23" s="4">
        <v>70034</v>
      </c>
    </row>
    <row r="24" spans="1:10">
      <c r="A24" s="4" t="s">
        <v>115</v>
      </c>
      <c r="B24" s="4" t="s">
        <v>116</v>
      </c>
      <c r="C24" s="4" t="s">
        <v>114</v>
      </c>
      <c r="D24" s="4" t="s">
        <v>13</v>
      </c>
      <c r="E24" s="1">
        <v>33771</v>
      </c>
      <c r="F24" s="1">
        <v>44523</v>
      </c>
      <c r="G24" s="5">
        <f t="shared" ca="1" si="0"/>
        <v>30</v>
      </c>
      <c r="H24" s="4" t="s">
        <v>144</v>
      </c>
      <c r="I24" s="4" t="s">
        <v>145</v>
      </c>
      <c r="J24" s="4">
        <v>70034</v>
      </c>
    </row>
    <row r="25" spans="1:10">
      <c r="A25" s="4" t="s">
        <v>83</v>
      </c>
      <c r="B25" s="4" t="s">
        <v>84</v>
      </c>
      <c r="C25" s="4" t="s">
        <v>82</v>
      </c>
      <c r="D25" s="4" t="s">
        <v>16</v>
      </c>
      <c r="E25" s="1">
        <v>28388</v>
      </c>
      <c r="F25" s="1">
        <v>44509</v>
      </c>
      <c r="G25" s="5">
        <f t="shared" ca="1" si="0"/>
        <v>45</v>
      </c>
      <c r="H25" s="4" t="s">
        <v>133</v>
      </c>
      <c r="I25" s="4" t="s">
        <v>139</v>
      </c>
      <c r="J25" s="4">
        <v>20000</v>
      </c>
    </row>
    <row r="26" spans="1:10">
      <c r="A26" s="4" t="s">
        <v>74</v>
      </c>
      <c r="B26" s="4" t="s">
        <v>75</v>
      </c>
      <c r="C26" s="4" t="s">
        <v>73</v>
      </c>
      <c r="D26" s="4" t="s">
        <v>16</v>
      </c>
      <c r="E26" s="1">
        <v>29576</v>
      </c>
      <c r="F26" s="1">
        <v>44505</v>
      </c>
      <c r="G26" s="5">
        <f t="shared" ca="1" si="0"/>
        <v>42</v>
      </c>
      <c r="H26" s="4" t="s">
        <v>133</v>
      </c>
      <c r="I26" s="4" t="s">
        <v>138</v>
      </c>
      <c r="J26" s="4">
        <v>31000</v>
      </c>
    </row>
    <row r="27" spans="1:10">
      <c r="A27" s="4" t="s">
        <v>85</v>
      </c>
      <c r="B27" s="4" t="s">
        <v>86</v>
      </c>
      <c r="C27" s="4" t="s">
        <v>73</v>
      </c>
      <c r="D27" s="4" t="s">
        <v>16</v>
      </c>
      <c r="E27" s="1">
        <v>33174</v>
      </c>
      <c r="F27" s="1">
        <v>44510</v>
      </c>
      <c r="G27" s="5">
        <f t="shared" ca="1" si="0"/>
        <v>32</v>
      </c>
      <c r="H27" s="4" t="s">
        <v>133</v>
      </c>
      <c r="I27" s="4" t="s">
        <v>138</v>
      </c>
      <c r="J27" s="4">
        <v>21310</v>
      </c>
    </row>
    <row r="28" spans="1:10">
      <c r="A28" s="4" t="s">
        <v>24</v>
      </c>
      <c r="B28" s="4" t="s">
        <v>25</v>
      </c>
      <c r="C28" s="4" t="s">
        <v>23</v>
      </c>
      <c r="D28" s="4" t="s">
        <v>13</v>
      </c>
      <c r="E28" s="1">
        <v>33806</v>
      </c>
      <c r="F28" s="1">
        <v>44486</v>
      </c>
      <c r="G28" s="5">
        <f t="shared" ca="1" si="0"/>
        <v>30</v>
      </c>
      <c r="H28" s="4" t="s">
        <v>133</v>
      </c>
      <c r="I28" s="4" t="s">
        <v>137</v>
      </c>
      <c r="J28" s="4">
        <v>70034</v>
      </c>
    </row>
    <row r="29" spans="1:10">
      <c r="A29" s="4" t="s">
        <v>71</v>
      </c>
      <c r="B29" s="4" t="s">
        <v>72</v>
      </c>
      <c r="C29" s="4" t="s">
        <v>70</v>
      </c>
      <c r="D29" s="4" t="s">
        <v>16</v>
      </c>
      <c r="E29" s="1">
        <v>32912</v>
      </c>
      <c r="F29" s="1">
        <v>44504</v>
      </c>
      <c r="G29" s="5">
        <f t="shared" ca="1" si="0"/>
        <v>32</v>
      </c>
      <c r="H29" s="4" t="s">
        <v>148</v>
      </c>
      <c r="I29" s="4" t="s">
        <v>149</v>
      </c>
      <c r="J29" s="4">
        <v>20000</v>
      </c>
    </row>
    <row r="30" spans="1:10">
      <c r="A30" s="4" t="s">
        <v>17</v>
      </c>
      <c r="B30" s="4" t="s">
        <v>18</v>
      </c>
      <c r="C30" s="4" t="s">
        <v>19</v>
      </c>
      <c r="D30" s="4" t="s">
        <v>13</v>
      </c>
      <c r="E30" s="1">
        <v>31518</v>
      </c>
      <c r="F30" s="1">
        <v>44484</v>
      </c>
      <c r="G30" s="5">
        <f t="shared" ca="1" si="0"/>
        <v>36</v>
      </c>
      <c r="H30" s="4" t="s">
        <v>133</v>
      </c>
      <c r="I30" s="4" t="s">
        <v>140</v>
      </c>
      <c r="J30" s="4">
        <v>20000</v>
      </c>
    </row>
    <row r="31" spans="1:10">
      <c r="A31" s="4" t="s">
        <v>81</v>
      </c>
      <c r="B31" s="4" t="s">
        <v>32</v>
      </c>
      <c r="C31" s="4" t="s">
        <v>80</v>
      </c>
      <c r="D31" s="4" t="s">
        <v>16</v>
      </c>
      <c r="E31" s="1">
        <v>30702</v>
      </c>
      <c r="F31" s="1">
        <v>44508</v>
      </c>
      <c r="G31" s="5">
        <f t="shared" ca="1" si="0"/>
        <v>38</v>
      </c>
      <c r="H31" s="4" t="s">
        <v>133</v>
      </c>
      <c r="I31" s="4" t="s">
        <v>138</v>
      </c>
      <c r="J31" s="4">
        <v>100000</v>
      </c>
    </row>
    <row r="32" spans="1:10">
      <c r="A32" s="4" t="s">
        <v>21</v>
      </c>
      <c r="B32" s="4" t="s">
        <v>22</v>
      </c>
      <c r="C32" s="4" t="s">
        <v>20</v>
      </c>
      <c r="D32" s="4" t="s">
        <v>13</v>
      </c>
      <c r="E32" s="1">
        <v>31434</v>
      </c>
      <c r="F32" s="1">
        <v>44485</v>
      </c>
      <c r="G32" s="5">
        <f t="shared" ca="1" si="0"/>
        <v>36</v>
      </c>
      <c r="H32" s="4" t="s">
        <v>144</v>
      </c>
      <c r="I32" s="4" t="s">
        <v>145</v>
      </c>
      <c r="J32" s="4">
        <v>70034</v>
      </c>
    </row>
    <row r="33" spans="1:10">
      <c r="A33" s="4" t="s">
        <v>47</v>
      </c>
      <c r="B33" s="4" t="s">
        <v>62</v>
      </c>
      <c r="C33" s="4" t="s">
        <v>20</v>
      </c>
      <c r="D33" s="4" t="s">
        <v>13</v>
      </c>
      <c r="E33" s="1">
        <v>29561</v>
      </c>
      <c r="F33" s="1">
        <v>44512</v>
      </c>
      <c r="G33" s="5">
        <f t="shared" ca="1" si="0"/>
        <v>42</v>
      </c>
      <c r="H33" s="4" t="s">
        <v>133</v>
      </c>
      <c r="I33" s="4" t="s">
        <v>138</v>
      </c>
      <c r="J33" s="4">
        <v>100000</v>
      </c>
    </row>
    <row r="34" spans="1:10">
      <c r="A34" s="4" t="s">
        <v>92</v>
      </c>
      <c r="B34" s="4" t="s">
        <v>93</v>
      </c>
      <c r="C34" s="4" t="s">
        <v>20</v>
      </c>
      <c r="D34" s="4" t="s">
        <v>13</v>
      </c>
      <c r="E34" s="1">
        <v>28186</v>
      </c>
      <c r="F34" s="1">
        <v>44514</v>
      </c>
      <c r="G34" s="5">
        <f t="shared" ref="G34:G50" ca="1" si="1">INT(YEAR(TODAY()))-INT(YEAR(E34))</f>
        <v>45</v>
      </c>
      <c r="H34" s="4" t="s">
        <v>133</v>
      </c>
      <c r="I34" s="4" t="s">
        <v>138</v>
      </c>
      <c r="J34" s="4">
        <v>31000</v>
      </c>
    </row>
    <row r="35" spans="1:10">
      <c r="A35" s="4" t="s">
        <v>109</v>
      </c>
      <c r="B35" s="4" t="s">
        <v>110</v>
      </c>
      <c r="C35" s="4" t="s">
        <v>20</v>
      </c>
      <c r="D35" s="4" t="s">
        <v>13</v>
      </c>
      <c r="E35" s="1">
        <v>28277</v>
      </c>
      <c r="F35" s="1">
        <v>44521</v>
      </c>
      <c r="G35" s="5">
        <f t="shared" ca="1" si="1"/>
        <v>45</v>
      </c>
      <c r="H35" s="4" t="s">
        <v>133</v>
      </c>
      <c r="I35" s="4" t="s">
        <v>137</v>
      </c>
      <c r="J35" s="4">
        <v>80000</v>
      </c>
    </row>
    <row r="36" spans="1:10">
      <c r="A36" s="4" t="s">
        <v>131</v>
      </c>
      <c r="B36" s="4" t="s">
        <v>132</v>
      </c>
      <c r="C36" s="4" t="s">
        <v>130</v>
      </c>
      <c r="D36" s="4" t="s">
        <v>13</v>
      </c>
      <c r="E36" s="1">
        <v>31213</v>
      </c>
      <c r="F36" s="1">
        <v>44530</v>
      </c>
      <c r="G36" s="5">
        <f t="shared" ca="1" si="1"/>
        <v>37</v>
      </c>
      <c r="H36" s="4" t="s">
        <v>133</v>
      </c>
      <c r="I36" s="4" t="s">
        <v>143</v>
      </c>
      <c r="J36" s="4">
        <v>21310</v>
      </c>
    </row>
    <row r="37" spans="1:10">
      <c r="A37" s="4" t="s">
        <v>47</v>
      </c>
      <c r="B37" s="4" t="s">
        <v>48</v>
      </c>
      <c r="C37" s="4" t="s">
        <v>46</v>
      </c>
      <c r="D37" s="4" t="s">
        <v>13</v>
      </c>
      <c r="E37" s="1">
        <v>33082</v>
      </c>
      <c r="F37" s="1">
        <v>44495</v>
      </c>
      <c r="G37" s="5">
        <f t="shared" ca="1" si="1"/>
        <v>32</v>
      </c>
      <c r="H37" s="4" t="s">
        <v>133</v>
      </c>
      <c r="I37" s="4" t="s">
        <v>140</v>
      </c>
      <c r="J37" s="4">
        <v>31000</v>
      </c>
    </row>
    <row r="38" spans="1:10">
      <c r="A38" s="4" t="s">
        <v>112</v>
      </c>
      <c r="B38" s="4" t="s">
        <v>113</v>
      </c>
      <c r="C38" s="4" t="s">
        <v>111</v>
      </c>
      <c r="D38" s="4" t="s">
        <v>13</v>
      </c>
      <c r="E38" s="1">
        <v>32297</v>
      </c>
      <c r="F38" s="1">
        <v>44522</v>
      </c>
      <c r="G38" s="5">
        <f t="shared" ca="1" si="1"/>
        <v>34</v>
      </c>
      <c r="H38" s="4" t="s">
        <v>133</v>
      </c>
      <c r="I38" s="4" t="s">
        <v>137</v>
      </c>
      <c r="J38" s="4">
        <v>80000</v>
      </c>
    </row>
    <row r="39" spans="1:10">
      <c r="A39" s="4" t="s">
        <v>33</v>
      </c>
      <c r="B39" s="4" t="s">
        <v>32</v>
      </c>
      <c r="C39" s="4" t="s">
        <v>34</v>
      </c>
      <c r="D39" s="4" t="s">
        <v>16</v>
      </c>
      <c r="E39" s="1">
        <v>31887</v>
      </c>
      <c r="F39" s="1">
        <v>44490</v>
      </c>
      <c r="G39" s="5">
        <f t="shared" ca="1" si="1"/>
        <v>35</v>
      </c>
      <c r="H39" s="4" t="s">
        <v>133</v>
      </c>
      <c r="I39" s="4" t="s">
        <v>137</v>
      </c>
      <c r="J39" s="4">
        <v>70034</v>
      </c>
    </row>
    <row r="40" spans="1:10">
      <c r="A40" s="4" t="s">
        <v>68</v>
      </c>
      <c r="B40" s="4" t="s">
        <v>69</v>
      </c>
      <c r="C40" s="4" t="s">
        <v>34</v>
      </c>
      <c r="D40" s="4" t="s">
        <v>16</v>
      </c>
      <c r="E40" s="1">
        <v>27489</v>
      </c>
      <c r="F40" s="1">
        <v>44503</v>
      </c>
      <c r="G40" s="5">
        <f t="shared" ca="1" si="1"/>
        <v>47</v>
      </c>
      <c r="H40" s="4" t="s">
        <v>144</v>
      </c>
      <c r="I40" s="4" t="s">
        <v>146</v>
      </c>
      <c r="J40" s="4">
        <v>20000</v>
      </c>
    </row>
    <row r="41" spans="1:10">
      <c r="A41" s="4" t="s">
        <v>64</v>
      </c>
      <c r="B41" s="4" t="s">
        <v>65</v>
      </c>
      <c r="C41" s="4" t="s">
        <v>63</v>
      </c>
      <c r="D41" s="4" t="s">
        <v>13</v>
      </c>
      <c r="E41" s="1">
        <v>30065</v>
      </c>
      <c r="F41" s="1">
        <v>44501</v>
      </c>
      <c r="G41" s="5">
        <f t="shared" ca="1" si="1"/>
        <v>40</v>
      </c>
      <c r="H41" s="4" t="s">
        <v>144</v>
      </c>
      <c r="I41" s="4" t="s">
        <v>146</v>
      </c>
      <c r="J41" s="4">
        <v>31000</v>
      </c>
    </row>
    <row r="42" spans="1:10">
      <c r="A42" s="4" t="s">
        <v>88</v>
      </c>
      <c r="B42" s="4" t="s">
        <v>89</v>
      </c>
      <c r="C42" s="4" t="s">
        <v>87</v>
      </c>
      <c r="D42" s="4" t="s">
        <v>13</v>
      </c>
      <c r="E42" s="1">
        <v>31904</v>
      </c>
      <c r="F42" s="1">
        <v>44511</v>
      </c>
      <c r="G42" s="5">
        <f t="shared" ca="1" si="1"/>
        <v>35</v>
      </c>
      <c r="H42" s="4" t="s">
        <v>133</v>
      </c>
      <c r="I42" s="4" t="s">
        <v>142</v>
      </c>
      <c r="J42" s="4">
        <v>31000</v>
      </c>
    </row>
    <row r="43" spans="1:10">
      <c r="A43" s="4" t="s">
        <v>150</v>
      </c>
      <c r="B43" s="4" t="s">
        <v>14</v>
      </c>
      <c r="C43" s="4" t="s">
        <v>15</v>
      </c>
      <c r="D43" s="4" t="s">
        <v>16</v>
      </c>
      <c r="E43" s="2">
        <v>33057</v>
      </c>
      <c r="F43" s="1">
        <v>44483</v>
      </c>
      <c r="G43" s="5">
        <f t="shared" ca="1" si="1"/>
        <v>32</v>
      </c>
      <c r="H43" s="4" t="s">
        <v>133</v>
      </c>
      <c r="I43" s="4" t="s">
        <v>139</v>
      </c>
      <c r="J43" s="4">
        <v>20000</v>
      </c>
    </row>
    <row r="44" spans="1:10">
      <c r="A44" s="4" t="s">
        <v>40</v>
      </c>
      <c r="B44" s="4" t="s">
        <v>39</v>
      </c>
      <c r="C44" s="4" t="s">
        <v>38</v>
      </c>
      <c r="D44" s="4" t="s">
        <v>13</v>
      </c>
      <c r="E44" s="1">
        <v>32646</v>
      </c>
      <c r="F44" s="1">
        <v>44492</v>
      </c>
      <c r="G44" s="5">
        <f t="shared" ca="1" si="1"/>
        <v>33</v>
      </c>
      <c r="H44" s="4" t="s">
        <v>133</v>
      </c>
      <c r="I44" s="4" t="s">
        <v>140</v>
      </c>
      <c r="J44" s="4">
        <v>100000</v>
      </c>
    </row>
    <row r="45" spans="1:10">
      <c r="A45" s="4" t="s">
        <v>120</v>
      </c>
      <c r="B45" s="4" t="s">
        <v>121</v>
      </c>
      <c r="C45" s="4" t="s">
        <v>119</v>
      </c>
      <c r="D45" s="4" t="s">
        <v>13</v>
      </c>
      <c r="E45" s="1">
        <v>27732</v>
      </c>
      <c r="F45" s="1">
        <v>44525</v>
      </c>
      <c r="G45" s="5">
        <f t="shared" ca="1" si="1"/>
        <v>47</v>
      </c>
      <c r="H45" s="4" t="s">
        <v>133</v>
      </c>
      <c r="I45" s="4" t="s">
        <v>137</v>
      </c>
      <c r="J45" s="4">
        <v>100000</v>
      </c>
    </row>
    <row r="46" spans="1:10">
      <c r="A46" s="4" t="s">
        <v>102</v>
      </c>
      <c r="B46" s="4" t="s">
        <v>101</v>
      </c>
      <c r="C46" s="4" t="s">
        <v>103</v>
      </c>
      <c r="D46" s="4" t="s">
        <v>13</v>
      </c>
      <c r="E46" s="1">
        <v>30463</v>
      </c>
      <c r="F46" s="1">
        <v>44518</v>
      </c>
      <c r="G46" s="5">
        <f t="shared" ca="1" si="1"/>
        <v>39</v>
      </c>
      <c r="H46" s="4" t="s">
        <v>133</v>
      </c>
      <c r="I46" s="4" t="s">
        <v>139</v>
      </c>
      <c r="J46" s="4">
        <v>20000</v>
      </c>
    </row>
    <row r="47" spans="1:10">
      <c r="A47" s="4" t="s">
        <v>37</v>
      </c>
      <c r="B47" s="4" t="s">
        <v>36</v>
      </c>
      <c r="C47" s="4" t="s">
        <v>35</v>
      </c>
      <c r="D47" s="4" t="s">
        <v>16</v>
      </c>
      <c r="E47" s="1">
        <v>28013</v>
      </c>
      <c r="F47" s="1">
        <v>44491</v>
      </c>
      <c r="G47" s="5">
        <f t="shared" ca="1" si="1"/>
        <v>46</v>
      </c>
      <c r="H47" s="4" t="s">
        <v>148</v>
      </c>
      <c r="I47" s="4" t="s">
        <v>149</v>
      </c>
      <c r="J47" s="4">
        <v>70034</v>
      </c>
    </row>
    <row r="48" spans="1:10">
      <c r="A48" s="4" t="s">
        <v>55</v>
      </c>
      <c r="B48" s="4" t="s">
        <v>56</v>
      </c>
      <c r="C48" s="4" t="s">
        <v>54</v>
      </c>
      <c r="D48" s="4" t="s">
        <v>13</v>
      </c>
      <c r="E48" s="1">
        <v>31684</v>
      </c>
      <c r="F48" s="1">
        <v>44498</v>
      </c>
      <c r="G48" s="5">
        <f t="shared" ca="1" si="1"/>
        <v>36</v>
      </c>
      <c r="H48" s="4" t="s">
        <v>144</v>
      </c>
      <c r="I48" s="4" t="s">
        <v>145</v>
      </c>
      <c r="J48" s="4">
        <v>20000</v>
      </c>
    </row>
    <row r="49" spans="1:10">
      <c r="A49" s="4" t="s">
        <v>129</v>
      </c>
      <c r="B49" s="4" t="s">
        <v>121</v>
      </c>
      <c r="C49" s="4" t="s">
        <v>128</v>
      </c>
      <c r="D49" s="4" t="s">
        <v>13</v>
      </c>
      <c r="E49" s="1">
        <v>32293</v>
      </c>
      <c r="F49" s="1">
        <v>44529</v>
      </c>
      <c r="G49" s="5">
        <f t="shared" ca="1" si="1"/>
        <v>34</v>
      </c>
      <c r="H49" s="4" t="s">
        <v>148</v>
      </c>
      <c r="I49" s="4" t="s">
        <v>149</v>
      </c>
      <c r="J49" s="4">
        <v>40000</v>
      </c>
    </row>
    <row r="50" spans="1:10">
      <c r="A50" s="4" t="s">
        <v>151</v>
      </c>
      <c r="B50" s="4" t="s">
        <v>45</v>
      </c>
      <c r="C50" s="4" t="s">
        <v>44</v>
      </c>
      <c r="D50" s="4" t="s">
        <v>13</v>
      </c>
      <c r="E50" s="1">
        <v>27847</v>
      </c>
      <c r="F50" s="1">
        <v>44494</v>
      </c>
      <c r="G50" s="5">
        <f t="shared" ca="1" si="1"/>
        <v>46</v>
      </c>
      <c r="H50" s="4" t="s">
        <v>133</v>
      </c>
      <c r="I50" s="4" t="s">
        <v>137</v>
      </c>
      <c r="J50" s="4">
        <v>100000</v>
      </c>
    </row>
  </sheetData>
  <sortState ref="A2:J50">
    <sortCondition ref="C1"/>
  </sortState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M26" sqref="M26"/>
    </sheetView>
  </sheetViews>
  <sheetFormatPr defaultRowHeight="15"/>
  <cols>
    <col min="1" max="1" width="22.85546875" customWidth="1"/>
    <col min="2" max="2" width="15.28515625" customWidth="1"/>
    <col min="3" max="3" width="14.7109375" customWidth="1"/>
    <col min="4" max="4" width="12.42578125" customWidth="1"/>
    <col min="5" max="5" width="19.85546875" customWidth="1"/>
    <col min="6" max="6" width="17.28515625" customWidth="1"/>
    <col min="7" max="7" width="14" customWidth="1"/>
    <col min="8" max="8" width="14.7109375" customWidth="1"/>
    <col min="9" max="9" width="18.4257812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>
      <c r="A2" s="4" t="s">
        <v>68</v>
      </c>
      <c r="B2" s="4" t="s">
        <v>69</v>
      </c>
      <c r="C2" s="4" t="s">
        <v>34</v>
      </c>
      <c r="D2" s="4" t="s">
        <v>16</v>
      </c>
      <c r="E2" s="1">
        <v>27489</v>
      </c>
      <c r="F2" s="1">
        <v>44503</v>
      </c>
      <c r="G2" s="5">
        <f t="shared" ref="G2:G33" ca="1" si="0">INT(YEAR(TODAY()))-INT(YEAR(E2))</f>
        <v>47</v>
      </c>
      <c r="H2" s="4" t="s">
        <v>144</v>
      </c>
      <c r="I2" s="4" t="s">
        <v>146</v>
      </c>
      <c r="J2" s="4">
        <v>20000</v>
      </c>
    </row>
    <row r="3" spans="1:10">
      <c r="A3" s="4" t="s">
        <v>120</v>
      </c>
      <c r="B3" s="4" t="s">
        <v>121</v>
      </c>
      <c r="C3" s="4" t="s">
        <v>119</v>
      </c>
      <c r="D3" s="4" t="s">
        <v>13</v>
      </c>
      <c r="E3" s="1">
        <v>27732</v>
      </c>
      <c r="F3" s="1">
        <v>44525</v>
      </c>
      <c r="G3" s="5">
        <f t="shared" ca="1" si="0"/>
        <v>47</v>
      </c>
      <c r="H3" s="4" t="s">
        <v>133</v>
      </c>
      <c r="I3" s="4" t="s">
        <v>137</v>
      </c>
      <c r="J3" s="4">
        <v>100000</v>
      </c>
    </row>
    <row r="4" spans="1:10">
      <c r="A4" s="4" t="s">
        <v>151</v>
      </c>
      <c r="B4" s="4" t="s">
        <v>45</v>
      </c>
      <c r="C4" s="4" t="s">
        <v>44</v>
      </c>
      <c r="D4" s="4" t="s">
        <v>13</v>
      </c>
      <c r="E4" s="1">
        <v>27847</v>
      </c>
      <c r="F4" s="1">
        <v>44494</v>
      </c>
      <c r="G4" s="5">
        <f t="shared" ca="1" si="0"/>
        <v>46</v>
      </c>
      <c r="H4" s="4" t="s">
        <v>133</v>
      </c>
      <c r="I4" s="4" t="s">
        <v>137</v>
      </c>
      <c r="J4" s="4">
        <v>100000</v>
      </c>
    </row>
    <row r="5" spans="1:10">
      <c r="A5" s="4" t="s">
        <v>37</v>
      </c>
      <c r="B5" s="4" t="s">
        <v>36</v>
      </c>
      <c r="C5" s="4" t="s">
        <v>35</v>
      </c>
      <c r="D5" s="4" t="s">
        <v>16</v>
      </c>
      <c r="E5" s="1">
        <v>28013</v>
      </c>
      <c r="F5" s="1">
        <v>44491</v>
      </c>
      <c r="G5" s="5">
        <f t="shared" ca="1" si="0"/>
        <v>46</v>
      </c>
      <c r="H5" s="4" t="s">
        <v>148</v>
      </c>
      <c r="I5" s="4" t="s">
        <v>149</v>
      </c>
      <c r="J5" s="4">
        <v>70034</v>
      </c>
    </row>
    <row r="6" spans="1:10">
      <c r="A6" s="4" t="s">
        <v>78</v>
      </c>
      <c r="B6" s="4" t="s">
        <v>79</v>
      </c>
      <c r="C6" s="4" t="s">
        <v>41</v>
      </c>
      <c r="D6" s="4" t="s">
        <v>13</v>
      </c>
      <c r="E6" s="1">
        <v>28136</v>
      </c>
      <c r="F6" s="1">
        <v>44507</v>
      </c>
      <c r="G6" s="5">
        <f t="shared" ca="1" si="0"/>
        <v>45</v>
      </c>
      <c r="H6" s="4" t="s">
        <v>148</v>
      </c>
      <c r="I6" s="4" t="s">
        <v>149</v>
      </c>
      <c r="J6" s="4">
        <v>40000</v>
      </c>
    </row>
    <row r="7" spans="1:10">
      <c r="A7" s="4" t="s">
        <v>92</v>
      </c>
      <c r="B7" s="4" t="s">
        <v>93</v>
      </c>
      <c r="C7" s="4" t="s">
        <v>20</v>
      </c>
      <c r="D7" s="4" t="s">
        <v>13</v>
      </c>
      <c r="E7" s="1">
        <v>28186</v>
      </c>
      <c r="F7" s="1">
        <v>44514</v>
      </c>
      <c r="G7" s="5">
        <f t="shared" ca="1" si="0"/>
        <v>45</v>
      </c>
      <c r="H7" s="4" t="s">
        <v>133</v>
      </c>
      <c r="I7" s="4" t="s">
        <v>138</v>
      </c>
      <c r="J7" s="4">
        <v>31000</v>
      </c>
    </row>
    <row r="8" spans="1:10">
      <c r="A8" s="4" t="s">
        <v>61</v>
      </c>
      <c r="B8" s="4" t="s">
        <v>62</v>
      </c>
      <c r="C8" s="4" t="s">
        <v>60</v>
      </c>
      <c r="D8" s="4" t="s">
        <v>13</v>
      </c>
      <c r="E8" s="1">
        <v>28208</v>
      </c>
      <c r="F8" s="1">
        <v>44500</v>
      </c>
      <c r="G8" s="5">
        <f t="shared" ca="1" si="0"/>
        <v>45</v>
      </c>
      <c r="H8" s="4" t="s">
        <v>133</v>
      </c>
      <c r="I8" s="4" t="s">
        <v>139</v>
      </c>
      <c r="J8" s="4">
        <v>31000</v>
      </c>
    </row>
    <row r="9" spans="1:10">
      <c r="A9" s="4" t="s">
        <v>109</v>
      </c>
      <c r="B9" s="4" t="s">
        <v>110</v>
      </c>
      <c r="C9" s="4" t="s">
        <v>20</v>
      </c>
      <c r="D9" s="4" t="s">
        <v>13</v>
      </c>
      <c r="E9" s="1">
        <v>28277</v>
      </c>
      <c r="F9" s="1">
        <v>44521</v>
      </c>
      <c r="G9" s="5">
        <f t="shared" ca="1" si="0"/>
        <v>45</v>
      </c>
      <c r="H9" s="4" t="s">
        <v>133</v>
      </c>
      <c r="I9" s="4" t="s">
        <v>137</v>
      </c>
      <c r="J9" s="4">
        <v>80000</v>
      </c>
    </row>
    <row r="10" spans="1:10">
      <c r="A10" s="4" t="s">
        <v>83</v>
      </c>
      <c r="B10" s="4" t="s">
        <v>84</v>
      </c>
      <c r="C10" s="4" t="s">
        <v>82</v>
      </c>
      <c r="D10" s="4" t="s">
        <v>16</v>
      </c>
      <c r="E10" s="1">
        <v>28388</v>
      </c>
      <c r="F10" s="1">
        <v>44509</v>
      </c>
      <c r="G10" s="5">
        <f t="shared" ca="1" si="0"/>
        <v>45</v>
      </c>
      <c r="H10" s="4" t="s">
        <v>133</v>
      </c>
      <c r="I10" s="4" t="s">
        <v>139</v>
      </c>
      <c r="J10" s="4">
        <v>20000</v>
      </c>
    </row>
    <row r="11" spans="1:10">
      <c r="A11" s="4" t="s">
        <v>96</v>
      </c>
      <c r="B11" s="4" t="s">
        <v>95</v>
      </c>
      <c r="C11" s="4" t="s">
        <v>97</v>
      </c>
      <c r="D11" s="4" t="s">
        <v>16</v>
      </c>
      <c r="E11" s="1">
        <v>28780</v>
      </c>
      <c r="F11" s="1">
        <v>44516</v>
      </c>
      <c r="G11" s="5">
        <f t="shared" ca="1" si="0"/>
        <v>44</v>
      </c>
      <c r="H11" s="4" t="s">
        <v>133</v>
      </c>
      <c r="I11" s="4" t="s">
        <v>137</v>
      </c>
      <c r="J11" s="4">
        <v>20000</v>
      </c>
    </row>
    <row r="12" spans="1:10">
      <c r="A12" s="4" t="s">
        <v>77</v>
      </c>
      <c r="B12" s="4" t="s">
        <v>65</v>
      </c>
      <c r="C12" s="4" t="s">
        <v>76</v>
      </c>
      <c r="D12" s="4" t="s">
        <v>13</v>
      </c>
      <c r="E12" s="1">
        <v>28784</v>
      </c>
      <c r="F12" s="1">
        <v>44506</v>
      </c>
      <c r="G12" s="5">
        <f t="shared" ca="1" si="0"/>
        <v>44</v>
      </c>
      <c r="H12" s="4" t="s">
        <v>133</v>
      </c>
      <c r="I12" s="4" t="s">
        <v>139</v>
      </c>
      <c r="J12" s="4">
        <v>100000</v>
      </c>
    </row>
    <row r="13" spans="1:10">
      <c r="A13" s="4" t="s">
        <v>50</v>
      </c>
      <c r="B13" s="4" t="s">
        <v>51</v>
      </c>
      <c r="C13" s="4" t="s">
        <v>49</v>
      </c>
      <c r="D13" s="4" t="s">
        <v>13</v>
      </c>
      <c r="E13" s="1">
        <v>28967</v>
      </c>
      <c r="F13" s="1">
        <v>44496</v>
      </c>
      <c r="G13" s="5">
        <f t="shared" ca="1" si="0"/>
        <v>43</v>
      </c>
      <c r="H13" s="4" t="s">
        <v>133</v>
      </c>
      <c r="I13" s="4" t="s">
        <v>137</v>
      </c>
      <c r="J13" s="4">
        <v>100000</v>
      </c>
    </row>
    <row r="14" spans="1:10">
      <c r="A14" s="4" t="s">
        <v>43</v>
      </c>
      <c r="B14" s="4" t="s">
        <v>42</v>
      </c>
      <c r="C14" s="4" t="s">
        <v>41</v>
      </c>
      <c r="D14" s="4" t="s">
        <v>13</v>
      </c>
      <c r="E14" s="1">
        <v>29013</v>
      </c>
      <c r="F14" s="1">
        <v>44493</v>
      </c>
      <c r="G14" s="5">
        <f t="shared" ca="1" si="0"/>
        <v>43</v>
      </c>
      <c r="H14" s="4" t="s">
        <v>148</v>
      </c>
      <c r="I14" s="4" t="s">
        <v>149</v>
      </c>
      <c r="J14" s="4">
        <v>70034</v>
      </c>
    </row>
    <row r="15" spans="1:10">
      <c r="A15" s="4" t="s">
        <v>117</v>
      </c>
      <c r="B15" s="4" t="s">
        <v>118</v>
      </c>
      <c r="C15" s="4" t="s">
        <v>76</v>
      </c>
      <c r="D15" s="4" t="s">
        <v>13</v>
      </c>
      <c r="E15" s="1">
        <v>29038</v>
      </c>
      <c r="F15" s="1">
        <v>44524</v>
      </c>
      <c r="G15" s="5">
        <f t="shared" ca="1" si="0"/>
        <v>43</v>
      </c>
      <c r="H15" s="4" t="s">
        <v>133</v>
      </c>
      <c r="I15" s="4" t="s">
        <v>138</v>
      </c>
      <c r="J15" s="4">
        <v>100000</v>
      </c>
    </row>
    <row r="16" spans="1:10">
      <c r="A16" s="4" t="s">
        <v>125</v>
      </c>
      <c r="B16" s="4" t="s">
        <v>126</v>
      </c>
      <c r="C16" s="4" t="s">
        <v>124</v>
      </c>
      <c r="D16" s="4" t="s">
        <v>13</v>
      </c>
      <c r="E16" s="1">
        <v>29109</v>
      </c>
      <c r="F16" s="1">
        <v>44527</v>
      </c>
      <c r="G16" s="5">
        <f t="shared" ca="1" si="0"/>
        <v>43</v>
      </c>
      <c r="H16" s="4" t="s">
        <v>133</v>
      </c>
      <c r="I16" s="4" t="s">
        <v>137</v>
      </c>
      <c r="J16" s="4">
        <v>211000</v>
      </c>
    </row>
    <row r="17" spans="1:10">
      <c r="A17" s="4" t="s">
        <v>107</v>
      </c>
      <c r="B17" s="4" t="s">
        <v>108</v>
      </c>
      <c r="C17" s="4" t="s">
        <v>66</v>
      </c>
      <c r="D17" s="4" t="s">
        <v>16</v>
      </c>
      <c r="E17" s="1">
        <v>29547</v>
      </c>
      <c r="F17" s="1">
        <v>44520</v>
      </c>
      <c r="G17" s="5">
        <f t="shared" ca="1" si="0"/>
        <v>42</v>
      </c>
      <c r="H17" s="4" t="s">
        <v>133</v>
      </c>
      <c r="I17" s="4" t="s">
        <v>138</v>
      </c>
      <c r="J17" s="4">
        <v>100000</v>
      </c>
    </row>
    <row r="18" spans="1:10">
      <c r="A18" s="4" t="s">
        <v>47</v>
      </c>
      <c r="B18" s="4" t="s">
        <v>62</v>
      </c>
      <c r="C18" s="4" t="s">
        <v>20</v>
      </c>
      <c r="D18" s="4" t="s">
        <v>13</v>
      </c>
      <c r="E18" s="1">
        <v>29561</v>
      </c>
      <c r="F18" s="1">
        <v>44512</v>
      </c>
      <c r="G18" s="5">
        <f t="shared" ca="1" si="0"/>
        <v>42</v>
      </c>
      <c r="H18" s="4" t="s">
        <v>133</v>
      </c>
      <c r="I18" s="4" t="s">
        <v>138</v>
      </c>
      <c r="J18" s="4">
        <v>100000</v>
      </c>
    </row>
    <row r="19" spans="1:10">
      <c r="A19" s="4" t="s">
        <v>74</v>
      </c>
      <c r="B19" s="4" t="s">
        <v>75</v>
      </c>
      <c r="C19" s="4" t="s">
        <v>73</v>
      </c>
      <c r="D19" s="4" t="s">
        <v>16</v>
      </c>
      <c r="E19" s="1">
        <v>29576</v>
      </c>
      <c r="F19" s="1">
        <v>44505</v>
      </c>
      <c r="G19" s="5">
        <f t="shared" ca="1" si="0"/>
        <v>42</v>
      </c>
      <c r="H19" s="4" t="s">
        <v>133</v>
      </c>
      <c r="I19" s="4" t="s">
        <v>138</v>
      </c>
      <c r="J19" s="4">
        <v>31000</v>
      </c>
    </row>
    <row r="20" spans="1:10">
      <c r="A20" s="4" t="s">
        <v>67</v>
      </c>
      <c r="B20" s="4" t="s">
        <v>32</v>
      </c>
      <c r="C20" s="4" t="s">
        <v>66</v>
      </c>
      <c r="D20" s="4" t="s">
        <v>16</v>
      </c>
      <c r="E20" s="1">
        <v>29640</v>
      </c>
      <c r="F20" s="1">
        <v>44502</v>
      </c>
      <c r="G20" s="5">
        <f t="shared" ca="1" si="0"/>
        <v>41</v>
      </c>
      <c r="H20" s="4" t="s">
        <v>144</v>
      </c>
      <c r="I20" s="4" t="s">
        <v>145</v>
      </c>
      <c r="J20" s="4">
        <v>20000</v>
      </c>
    </row>
    <row r="21" spans="1:10">
      <c r="A21" s="4" t="s">
        <v>122</v>
      </c>
      <c r="B21" s="4" t="s">
        <v>123</v>
      </c>
      <c r="C21" s="4" t="s">
        <v>57</v>
      </c>
      <c r="D21" s="4" t="s">
        <v>16</v>
      </c>
      <c r="E21" s="1">
        <v>29808</v>
      </c>
      <c r="F21" s="1">
        <v>44526</v>
      </c>
      <c r="G21" s="5">
        <f t="shared" ca="1" si="0"/>
        <v>41</v>
      </c>
      <c r="H21" s="4" t="s">
        <v>133</v>
      </c>
      <c r="I21" s="4" t="s">
        <v>139</v>
      </c>
      <c r="J21" s="4">
        <v>100000</v>
      </c>
    </row>
    <row r="22" spans="1:10">
      <c r="A22" s="4" t="s">
        <v>94</v>
      </c>
      <c r="B22" s="4" t="s">
        <v>31</v>
      </c>
      <c r="C22" s="4" t="s">
        <v>66</v>
      </c>
      <c r="D22" s="4" t="s">
        <v>16</v>
      </c>
      <c r="E22" s="1">
        <v>29857</v>
      </c>
      <c r="F22" s="1">
        <v>44515</v>
      </c>
      <c r="G22" s="5">
        <f t="shared" ca="1" si="0"/>
        <v>41</v>
      </c>
      <c r="H22" s="4" t="s">
        <v>133</v>
      </c>
      <c r="I22" s="4" t="s">
        <v>137</v>
      </c>
      <c r="J22" s="4">
        <v>31000</v>
      </c>
    </row>
    <row r="23" spans="1:10">
      <c r="A23" s="4" t="s">
        <v>127</v>
      </c>
      <c r="B23" s="4" t="s">
        <v>25</v>
      </c>
      <c r="C23" s="4" t="s">
        <v>90</v>
      </c>
      <c r="D23" s="4" t="s">
        <v>13</v>
      </c>
      <c r="E23" s="1">
        <v>30009</v>
      </c>
      <c r="F23" s="1">
        <v>44528</v>
      </c>
      <c r="G23" s="5">
        <f t="shared" ca="1" si="0"/>
        <v>40</v>
      </c>
      <c r="H23" s="4" t="s">
        <v>144</v>
      </c>
      <c r="I23" s="4" t="s">
        <v>146</v>
      </c>
      <c r="J23" s="4">
        <v>70034</v>
      </c>
    </row>
    <row r="24" spans="1:10">
      <c r="A24" s="4" t="s">
        <v>64</v>
      </c>
      <c r="B24" s="4" t="s">
        <v>65</v>
      </c>
      <c r="C24" s="4" t="s">
        <v>63</v>
      </c>
      <c r="D24" s="4" t="s">
        <v>13</v>
      </c>
      <c r="E24" s="1">
        <v>30065</v>
      </c>
      <c r="F24" s="1">
        <v>44501</v>
      </c>
      <c r="G24" s="5">
        <f t="shared" ca="1" si="0"/>
        <v>40</v>
      </c>
      <c r="H24" s="4" t="s">
        <v>144</v>
      </c>
      <c r="I24" s="4" t="s">
        <v>146</v>
      </c>
      <c r="J24" s="4">
        <v>31000</v>
      </c>
    </row>
    <row r="25" spans="1:10">
      <c r="A25" s="4" t="s">
        <v>134</v>
      </c>
      <c r="B25" s="4" t="s">
        <v>135</v>
      </c>
      <c r="C25" s="4" t="s">
        <v>136</v>
      </c>
      <c r="D25" s="4" t="s">
        <v>16</v>
      </c>
      <c r="E25" s="1">
        <v>30198</v>
      </c>
      <c r="F25" s="1">
        <v>44489</v>
      </c>
      <c r="G25" s="5">
        <f t="shared" ca="1" si="0"/>
        <v>40</v>
      </c>
      <c r="H25" s="4" t="s">
        <v>133</v>
      </c>
      <c r="I25" s="4" t="s">
        <v>140</v>
      </c>
      <c r="J25" s="4">
        <v>21310</v>
      </c>
    </row>
    <row r="26" spans="1:10">
      <c r="A26" s="4" t="s">
        <v>102</v>
      </c>
      <c r="B26" s="4" t="s">
        <v>101</v>
      </c>
      <c r="C26" s="4" t="s">
        <v>103</v>
      </c>
      <c r="D26" s="4" t="s">
        <v>13</v>
      </c>
      <c r="E26" s="1">
        <v>30463</v>
      </c>
      <c r="F26" s="1">
        <v>44518</v>
      </c>
      <c r="G26" s="5">
        <f t="shared" ca="1" si="0"/>
        <v>39</v>
      </c>
      <c r="H26" s="4" t="s">
        <v>133</v>
      </c>
      <c r="I26" s="4" t="s">
        <v>139</v>
      </c>
      <c r="J26" s="4">
        <v>20000</v>
      </c>
    </row>
    <row r="27" spans="1:10">
      <c r="A27" s="4" t="s">
        <v>81</v>
      </c>
      <c r="B27" s="4" t="s">
        <v>32</v>
      </c>
      <c r="C27" s="4" t="s">
        <v>80</v>
      </c>
      <c r="D27" s="4" t="s">
        <v>16</v>
      </c>
      <c r="E27" s="1">
        <v>30702</v>
      </c>
      <c r="F27" s="1">
        <v>44508</v>
      </c>
      <c r="G27" s="5">
        <f t="shared" ca="1" si="0"/>
        <v>38</v>
      </c>
      <c r="H27" s="4" t="s">
        <v>133</v>
      </c>
      <c r="I27" s="4" t="s">
        <v>138</v>
      </c>
      <c r="J27" s="4">
        <v>100000</v>
      </c>
    </row>
    <row r="28" spans="1:10">
      <c r="A28" s="4" t="s">
        <v>58</v>
      </c>
      <c r="B28" s="4" t="s">
        <v>59</v>
      </c>
      <c r="C28" s="4" t="s">
        <v>57</v>
      </c>
      <c r="D28" s="4" t="s">
        <v>16</v>
      </c>
      <c r="E28" s="1">
        <v>30716</v>
      </c>
      <c r="F28" s="1">
        <v>44499</v>
      </c>
      <c r="G28" s="5">
        <f t="shared" ca="1" si="0"/>
        <v>38</v>
      </c>
      <c r="H28" s="4" t="s">
        <v>133</v>
      </c>
      <c r="I28" s="4" t="s">
        <v>137</v>
      </c>
      <c r="J28" s="4">
        <v>20000</v>
      </c>
    </row>
    <row r="29" spans="1:10">
      <c r="A29" s="4" t="s">
        <v>10</v>
      </c>
      <c r="B29" s="4" t="s">
        <v>11</v>
      </c>
      <c r="C29" s="4" t="s">
        <v>12</v>
      </c>
      <c r="D29" s="4" t="s">
        <v>13</v>
      </c>
      <c r="E29" s="1">
        <v>30722</v>
      </c>
      <c r="F29" s="1">
        <v>44482</v>
      </c>
      <c r="G29" s="5">
        <f t="shared" ca="1" si="0"/>
        <v>38</v>
      </c>
      <c r="H29" s="4" t="s">
        <v>133</v>
      </c>
      <c r="I29" s="4" t="s">
        <v>141</v>
      </c>
      <c r="J29" s="4">
        <v>20000</v>
      </c>
    </row>
    <row r="30" spans="1:10">
      <c r="A30" s="4" t="s">
        <v>53</v>
      </c>
      <c r="B30" s="4" t="s">
        <v>14</v>
      </c>
      <c r="C30" s="4" t="s">
        <v>52</v>
      </c>
      <c r="D30" s="4" t="s">
        <v>16</v>
      </c>
      <c r="E30" s="1">
        <v>30813</v>
      </c>
      <c r="F30" s="1">
        <v>44497</v>
      </c>
      <c r="G30" s="5">
        <f t="shared" ca="1" si="0"/>
        <v>38</v>
      </c>
      <c r="H30" s="4" t="s">
        <v>133</v>
      </c>
      <c r="I30" s="4" t="s">
        <v>139</v>
      </c>
      <c r="J30" s="4">
        <v>20000</v>
      </c>
    </row>
    <row r="31" spans="1:10">
      <c r="A31" s="4" t="s">
        <v>131</v>
      </c>
      <c r="B31" s="4" t="s">
        <v>132</v>
      </c>
      <c r="C31" s="4" t="s">
        <v>130</v>
      </c>
      <c r="D31" s="4" t="s">
        <v>13</v>
      </c>
      <c r="E31" s="1">
        <v>31213</v>
      </c>
      <c r="F31" s="1">
        <v>44530</v>
      </c>
      <c r="G31" s="5">
        <f t="shared" ca="1" si="0"/>
        <v>37</v>
      </c>
      <c r="H31" s="4" t="s">
        <v>133</v>
      </c>
      <c r="I31" s="4" t="s">
        <v>143</v>
      </c>
      <c r="J31" s="4">
        <v>21310</v>
      </c>
    </row>
    <row r="32" spans="1:10">
      <c r="A32" s="4" t="s">
        <v>150</v>
      </c>
      <c r="B32" s="4" t="s">
        <v>26</v>
      </c>
      <c r="C32" s="4" t="s">
        <v>27</v>
      </c>
      <c r="D32" s="4" t="s">
        <v>16</v>
      </c>
      <c r="E32" s="1">
        <v>31216</v>
      </c>
      <c r="F32" s="1">
        <v>44487</v>
      </c>
      <c r="G32" s="5">
        <f t="shared" ca="1" si="0"/>
        <v>37</v>
      </c>
      <c r="H32" s="4" t="s">
        <v>144</v>
      </c>
      <c r="I32" s="4" t="s">
        <v>147</v>
      </c>
      <c r="J32" s="4">
        <v>20000</v>
      </c>
    </row>
    <row r="33" spans="1:10">
      <c r="A33" s="4" t="s">
        <v>21</v>
      </c>
      <c r="B33" s="4" t="s">
        <v>22</v>
      </c>
      <c r="C33" s="4" t="s">
        <v>20</v>
      </c>
      <c r="D33" s="4" t="s">
        <v>13</v>
      </c>
      <c r="E33" s="1">
        <v>31434</v>
      </c>
      <c r="F33" s="1">
        <v>44485</v>
      </c>
      <c r="G33" s="5">
        <f t="shared" ca="1" si="0"/>
        <v>36</v>
      </c>
      <c r="H33" s="4" t="s">
        <v>144</v>
      </c>
      <c r="I33" s="4" t="s">
        <v>145</v>
      </c>
      <c r="J33" s="4">
        <v>70034</v>
      </c>
    </row>
    <row r="34" spans="1:10">
      <c r="A34" s="4" t="s">
        <v>17</v>
      </c>
      <c r="B34" s="4" t="s">
        <v>18</v>
      </c>
      <c r="C34" s="4" t="s">
        <v>19</v>
      </c>
      <c r="D34" s="4" t="s">
        <v>13</v>
      </c>
      <c r="E34" s="1">
        <v>31518</v>
      </c>
      <c r="F34" s="1">
        <v>44484</v>
      </c>
      <c r="G34" s="5">
        <f t="shared" ref="G34:G50" ca="1" si="1">INT(YEAR(TODAY()))-INT(YEAR(E34))</f>
        <v>36</v>
      </c>
      <c r="H34" s="4" t="s">
        <v>133</v>
      </c>
      <c r="I34" s="4" t="s">
        <v>140</v>
      </c>
      <c r="J34" s="4">
        <v>20000</v>
      </c>
    </row>
    <row r="35" spans="1:10">
      <c r="A35" s="4" t="s">
        <v>55</v>
      </c>
      <c r="B35" s="4" t="s">
        <v>56</v>
      </c>
      <c r="C35" s="4" t="s">
        <v>54</v>
      </c>
      <c r="D35" s="4" t="s">
        <v>13</v>
      </c>
      <c r="E35" s="1">
        <v>31684</v>
      </c>
      <c r="F35" s="1">
        <v>44498</v>
      </c>
      <c r="G35" s="5">
        <f t="shared" ca="1" si="1"/>
        <v>36</v>
      </c>
      <c r="H35" s="4" t="s">
        <v>144</v>
      </c>
      <c r="I35" s="4" t="s">
        <v>145</v>
      </c>
      <c r="J35" s="4">
        <v>20000</v>
      </c>
    </row>
    <row r="36" spans="1:10">
      <c r="A36" s="4" t="s">
        <v>33</v>
      </c>
      <c r="B36" s="4" t="s">
        <v>32</v>
      </c>
      <c r="C36" s="4" t="s">
        <v>34</v>
      </c>
      <c r="D36" s="4" t="s">
        <v>16</v>
      </c>
      <c r="E36" s="1">
        <v>31887</v>
      </c>
      <c r="F36" s="1">
        <v>44490</v>
      </c>
      <c r="G36" s="5">
        <f t="shared" ca="1" si="1"/>
        <v>35</v>
      </c>
      <c r="H36" s="4" t="s">
        <v>133</v>
      </c>
      <c r="I36" s="4" t="s">
        <v>137</v>
      </c>
      <c r="J36" s="4">
        <v>70034</v>
      </c>
    </row>
    <row r="37" spans="1:10">
      <c r="A37" s="4" t="s">
        <v>88</v>
      </c>
      <c r="B37" s="4" t="s">
        <v>89</v>
      </c>
      <c r="C37" s="4" t="s">
        <v>87</v>
      </c>
      <c r="D37" s="4" t="s">
        <v>13</v>
      </c>
      <c r="E37" s="1">
        <v>31904</v>
      </c>
      <c r="F37" s="1">
        <v>44511</v>
      </c>
      <c r="G37" s="5">
        <f t="shared" ca="1" si="1"/>
        <v>35</v>
      </c>
      <c r="H37" s="4" t="s">
        <v>133</v>
      </c>
      <c r="I37" s="4" t="s">
        <v>142</v>
      </c>
      <c r="J37" s="4">
        <v>31000</v>
      </c>
    </row>
    <row r="38" spans="1:10">
      <c r="A38" s="4" t="s">
        <v>129</v>
      </c>
      <c r="B38" s="4" t="s">
        <v>121</v>
      </c>
      <c r="C38" s="4" t="s">
        <v>128</v>
      </c>
      <c r="D38" s="4" t="s">
        <v>13</v>
      </c>
      <c r="E38" s="1">
        <v>32293</v>
      </c>
      <c r="F38" s="1">
        <v>44529</v>
      </c>
      <c r="G38" s="5">
        <f t="shared" ca="1" si="1"/>
        <v>34</v>
      </c>
      <c r="H38" s="4" t="s">
        <v>148</v>
      </c>
      <c r="I38" s="4" t="s">
        <v>149</v>
      </c>
      <c r="J38" s="4">
        <v>40000</v>
      </c>
    </row>
    <row r="39" spans="1:10">
      <c r="A39" s="4" t="s">
        <v>112</v>
      </c>
      <c r="B39" s="4" t="s">
        <v>113</v>
      </c>
      <c r="C39" s="4" t="s">
        <v>111</v>
      </c>
      <c r="D39" s="4" t="s">
        <v>13</v>
      </c>
      <c r="E39" s="1">
        <v>32297</v>
      </c>
      <c r="F39" s="1">
        <v>44522</v>
      </c>
      <c r="G39" s="5">
        <f t="shared" ca="1" si="1"/>
        <v>34</v>
      </c>
      <c r="H39" s="4" t="s">
        <v>133</v>
      </c>
      <c r="I39" s="4" t="s">
        <v>137</v>
      </c>
      <c r="J39" s="4">
        <v>80000</v>
      </c>
    </row>
    <row r="40" spans="1:10">
      <c r="A40" s="4" t="s">
        <v>105</v>
      </c>
      <c r="B40" s="4" t="s">
        <v>106</v>
      </c>
      <c r="C40" s="4" t="s">
        <v>104</v>
      </c>
      <c r="D40" s="4" t="s">
        <v>16</v>
      </c>
      <c r="E40" s="1">
        <v>32382</v>
      </c>
      <c r="F40" s="1">
        <v>44519</v>
      </c>
      <c r="G40" s="5">
        <f t="shared" ca="1" si="1"/>
        <v>34</v>
      </c>
      <c r="H40" s="4" t="s">
        <v>148</v>
      </c>
      <c r="I40" s="4" t="s">
        <v>149</v>
      </c>
      <c r="J40" s="4">
        <v>70034</v>
      </c>
    </row>
    <row r="41" spans="1:10">
      <c r="A41" s="4" t="s">
        <v>40</v>
      </c>
      <c r="B41" s="4" t="s">
        <v>39</v>
      </c>
      <c r="C41" s="4" t="s">
        <v>38</v>
      </c>
      <c r="D41" s="4" t="s">
        <v>13</v>
      </c>
      <c r="E41" s="1">
        <v>32646</v>
      </c>
      <c r="F41" s="1">
        <v>44492</v>
      </c>
      <c r="G41" s="5">
        <f t="shared" ca="1" si="1"/>
        <v>33</v>
      </c>
      <c r="H41" s="4" t="s">
        <v>133</v>
      </c>
      <c r="I41" s="4" t="s">
        <v>140</v>
      </c>
      <c r="J41" s="4">
        <v>100000</v>
      </c>
    </row>
    <row r="42" spans="1:10">
      <c r="A42" s="4" t="s">
        <v>71</v>
      </c>
      <c r="B42" s="4" t="s">
        <v>72</v>
      </c>
      <c r="C42" s="4" t="s">
        <v>70</v>
      </c>
      <c r="D42" s="4" t="s">
        <v>16</v>
      </c>
      <c r="E42" s="1">
        <v>32912</v>
      </c>
      <c r="F42" s="1">
        <v>44504</v>
      </c>
      <c r="G42" s="5">
        <f t="shared" ca="1" si="1"/>
        <v>32</v>
      </c>
      <c r="H42" s="4" t="s">
        <v>148</v>
      </c>
      <c r="I42" s="4" t="s">
        <v>149</v>
      </c>
      <c r="J42" s="4">
        <v>20000</v>
      </c>
    </row>
    <row r="43" spans="1:10">
      <c r="A43" s="4" t="s">
        <v>150</v>
      </c>
      <c r="B43" s="4" t="s">
        <v>14</v>
      </c>
      <c r="C43" s="4" t="s">
        <v>15</v>
      </c>
      <c r="D43" s="4" t="s">
        <v>16</v>
      </c>
      <c r="E43" s="2">
        <v>33057</v>
      </c>
      <c r="F43" s="1">
        <v>44483</v>
      </c>
      <c r="G43" s="5">
        <f t="shared" ca="1" si="1"/>
        <v>32</v>
      </c>
      <c r="H43" s="4" t="s">
        <v>133</v>
      </c>
      <c r="I43" s="4" t="s">
        <v>139</v>
      </c>
      <c r="J43" s="4">
        <v>20000</v>
      </c>
    </row>
    <row r="44" spans="1:10">
      <c r="A44" s="4" t="s">
        <v>47</v>
      </c>
      <c r="B44" s="4" t="s">
        <v>48</v>
      </c>
      <c r="C44" s="4" t="s">
        <v>46</v>
      </c>
      <c r="D44" s="4" t="s">
        <v>13</v>
      </c>
      <c r="E44" s="1">
        <v>33082</v>
      </c>
      <c r="F44" s="1">
        <v>44495</v>
      </c>
      <c r="G44" s="5">
        <f t="shared" ca="1" si="1"/>
        <v>32</v>
      </c>
      <c r="H44" s="4" t="s">
        <v>133</v>
      </c>
      <c r="I44" s="4" t="s">
        <v>140</v>
      </c>
      <c r="J44" s="4">
        <v>31000</v>
      </c>
    </row>
    <row r="45" spans="1:10">
      <c r="A45" s="4" t="s">
        <v>85</v>
      </c>
      <c r="B45" s="4" t="s">
        <v>86</v>
      </c>
      <c r="C45" s="4" t="s">
        <v>73</v>
      </c>
      <c r="D45" s="4" t="s">
        <v>16</v>
      </c>
      <c r="E45" s="1">
        <v>33174</v>
      </c>
      <c r="F45" s="1">
        <v>44510</v>
      </c>
      <c r="G45" s="5">
        <f t="shared" ca="1" si="1"/>
        <v>32</v>
      </c>
      <c r="H45" s="4" t="s">
        <v>133</v>
      </c>
      <c r="I45" s="4" t="s">
        <v>138</v>
      </c>
      <c r="J45" s="4">
        <v>21310</v>
      </c>
    </row>
    <row r="46" spans="1:10">
      <c r="A46" s="4" t="s">
        <v>91</v>
      </c>
      <c r="B46" s="4" t="s">
        <v>18</v>
      </c>
      <c r="C46" s="4" t="s">
        <v>90</v>
      </c>
      <c r="D46" s="4" t="s">
        <v>13</v>
      </c>
      <c r="E46" s="1">
        <v>33214</v>
      </c>
      <c r="F46" s="1">
        <v>44513</v>
      </c>
      <c r="G46" s="5">
        <f t="shared" ca="1" si="1"/>
        <v>32</v>
      </c>
      <c r="H46" s="4" t="s">
        <v>144</v>
      </c>
      <c r="I46" s="4" t="s">
        <v>146</v>
      </c>
      <c r="J46" s="4">
        <v>100000</v>
      </c>
    </row>
    <row r="47" spans="1:10">
      <c r="A47" s="4" t="s">
        <v>99</v>
      </c>
      <c r="B47" s="4" t="s">
        <v>98</v>
      </c>
      <c r="C47" s="4" t="s">
        <v>100</v>
      </c>
      <c r="D47" s="4" t="s">
        <v>13</v>
      </c>
      <c r="E47" s="1">
        <v>33678</v>
      </c>
      <c r="F47" s="1">
        <v>44517</v>
      </c>
      <c r="G47" s="5">
        <f t="shared" ca="1" si="1"/>
        <v>30</v>
      </c>
      <c r="H47" s="4" t="s">
        <v>133</v>
      </c>
      <c r="I47" s="4" t="s">
        <v>138</v>
      </c>
      <c r="J47" s="4">
        <v>20000</v>
      </c>
    </row>
    <row r="48" spans="1:10">
      <c r="A48" s="4" t="s">
        <v>115</v>
      </c>
      <c r="B48" s="4" t="s">
        <v>116</v>
      </c>
      <c r="C48" s="4" t="s">
        <v>114</v>
      </c>
      <c r="D48" s="4" t="s">
        <v>13</v>
      </c>
      <c r="E48" s="1">
        <v>33771</v>
      </c>
      <c r="F48" s="1">
        <v>44523</v>
      </c>
      <c r="G48" s="5">
        <f t="shared" ca="1" si="1"/>
        <v>30</v>
      </c>
      <c r="H48" s="4" t="s">
        <v>144</v>
      </c>
      <c r="I48" s="4" t="s">
        <v>145</v>
      </c>
      <c r="J48" s="4">
        <v>70034</v>
      </c>
    </row>
    <row r="49" spans="1:10">
      <c r="A49" s="4" t="s">
        <v>24</v>
      </c>
      <c r="B49" s="4" t="s">
        <v>25</v>
      </c>
      <c r="C49" s="4" t="s">
        <v>23</v>
      </c>
      <c r="D49" s="4" t="s">
        <v>13</v>
      </c>
      <c r="E49" s="1">
        <v>33806</v>
      </c>
      <c r="F49" s="1">
        <v>44486</v>
      </c>
      <c r="G49" s="5">
        <f t="shared" ca="1" si="1"/>
        <v>30</v>
      </c>
      <c r="H49" s="4" t="s">
        <v>133</v>
      </c>
      <c r="I49" s="4" t="s">
        <v>137</v>
      </c>
      <c r="J49" s="4">
        <v>70034</v>
      </c>
    </row>
    <row r="50" spans="1:10">
      <c r="A50" s="4" t="s">
        <v>30</v>
      </c>
      <c r="B50" s="4" t="s">
        <v>28</v>
      </c>
      <c r="C50" s="4" t="s">
        <v>29</v>
      </c>
      <c r="D50" s="4" t="s">
        <v>16</v>
      </c>
      <c r="E50" s="1">
        <v>33856</v>
      </c>
      <c r="F50" s="1">
        <v>44488</v>
      </c>
      <c r="G50" s="5">
        <f t="shared" ca="1" si="1"/>
        <v>30</v>
      </c>
      <c r="H50" s="4" t="s">
        <v>144</v>
      </c>
      <c r="I50" s="4" t="s">
        <v>147</v>
      </c>
      <c r="J50" s="4">
        <v>70034</v>
      </c>
    </row>
  </sheetData>
  <sortState ref="A2:J50">
    <sortCondition ref="E1"/>
  </sortState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"/>
  <sheetViews>
    <sheetView topLeftCell="A26" workbookViewId="0">
      <selection activeCell="I62" sqref="I62"/>
    </sheetView>
  </sheetViews>
  <sheetFormatPr defaultRowHeight="15"/>
  <cols>
    <col min="1" max="1" width="20.140625" customWidth="1"/>
    <col min="2" max="2" width="18.140625" customWidth="1"/>
    <col min="3" max="3" width="16.7109375" customWidth="1"/>
    <col min="4" max="4" width="15" customWidth="1"/>
    <col min="5" max="5" width="14.7109375" customWidth="1"/>
    <col min="6" max="6" width="14.140625" customWidth="1"/>
    <col min="7" max="7" width="15" customWidth="1"/>
    <col min="8" max="8" width="16.42578125" customWidth="1"/>
    <col min="9" max="10" width="25.8554687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>
      <c r="A2" s="4" t="s">
        <v>37</v>
      </c>
      <c r="B2" s="4" t="s">
        <v>36</v>
      </c>
      <c r="C2" s="4" t="s">
        <v>35</v>
      </c>
      <c r="D2" s="4" t="s">
        <v>16</v>
      </c>
      <c r="E2" s="1">
        <v>28013</v>
      </c>
      <c r="F2" s="1">
        <v>44491</v>
      </c>
      <c r="G2" s="5">
        <f t="shared" ref="G2:G33" ca="1" si="0">INT(YEAR(TODAY()))-INT(YEAR(E2))</f>
        <v>46</v>
      </c>
      <c r="H2" s="4" t="s">
        <v>148</v>
      </c>
      <c r="I2" s="4" t="s">
        <v>149</v>
      </c>
      <c r="J2" s="4">
        <v>70034</v>
      </c>
    </row>
    <row r="3" spans="1:10">
      <c r="A3" s="4" t="s">
        <v>43</v>
      </c>
      <c r="B3" s="4" t="s">
        <v>42</v>
      </c>
      <c r="C3" s="4" t="s">
        <v>41</v>
      </c>
      <c r="D3" s="4" t="s">
        <v>13</v>
      </c>
      <c r="E3" s="1">
        <v>29013</v>
      </c>
      <c r="F3" s="1">
        <v>44493</v>
      </c>
      <c r="G3" s="5">
        <f t="shared" ca="1" si="0"/>
        <v>43</v>
      </c>
      <c r="H3" s="4" t="s">
        <v>148</v>
      </c>
      <c r="I3" s="4" t="s">
        <v>149</v>
      </c>
      <c r="J3" s="4">
        <v>70034</v>
      </c>
    </row>
    <row r="4" spans="1:10">
      <c r="A4" s="4" t="s">
        <v>71</v>
      </c>
      <c r="B4" s="4" t="s">
        <v>72</v>
      </c>
      <c r="C4" s="4" t="s">
        <v>70</v>
      </c>
      <c r="D4" s="4" t="s">
        <v>16</v>
      </c>
      <c r="E4" s="1">
        <v>32912</v>
      </c>
      <c r="F4" s="1">
        <v>44504</v>
      </c>
      <c r="G4" s="5">
        <f t="shared" ca="1" si="0"/>
        <v>32</v>
      </c>
      <c r="H4" s="4" t="s">
        <v>148</v>
      </c>
      <c r="I4" s="4" t="s">
        <v>149</v>
      </c>
      <c r="J4" s="4">
        <v>20000</v>
      </c>
    </row>
    <row r="5" spans="1:10">
      <c r="A5" s="4" t="s">
        <v>78</v>
      </c>
      <c r="B5" s="4" t="s">
        <v>79</v>
      </c>
      <c r="C5" s="4" t="s">
        <v>41</v>
      </c>
      <c r="D5" s="4" t="s">
        <v>13</v>
      </c>
      <c r="E5" s="1">
        <v>28136</v>
      </c>
      <c r="F5" s="1">
        <v>44507</v>
      </c>
      <c r="G5" s="5">
        <f t="shared" ca="1" si="0"/>
        <v>45</v>
      </c>
      <c r="H5" s="4" t="s">
        <v>148</v>
      </c>
      <c r="I5" s="4" t="s">
        <v>149</v>
      </c>
      <c r="J5" s="4">
        <v>40000</v>
      </c>
    </row>
    <row r="6" spans="1:10">
      <c r="A6" s="4" t="s">
        <v>105</v>
      </c>
      <c r="B6" s="4" t="s">
        <v>106</v>
      </c>
      <c r="C6" s="4" t="s">
        <v>104</v>
      </c>
      <c r="D6" s="4" t="s">
        <v>16</v>
      </c>
      <c r="E6" s="1">
        <v>32382</v>
      </c>
      <c r="F6" s="1">
        <v>44519</v>
      </c>
      <c r="G6" s="5">
        <f t="shared" ca="1" si="0"/>
        <v>34</v>
      </c>
      <c r="H6" s="4" t="s">
        <v>148</v>
      </c>
      <c r="I6" s="4" t="s">
        <v>149</v>
      </c>
      <c r="J6" s="4">
        <v>70034</v>
      </c>
    </row>
    <row r="7" spans="1:10">
      <c r="A7" s="4" t="s">
        <v>129</v>
      </c>
      <c r="B7" s="4" t="s">
        <v>121</v>
      </c>
      <c r="C7" s="4" t="s">
        <v>128</v>
      </c>
      <c r="D7" s="4" t="s">
        <v>13</v>
      </c>
      <c r="E7" s="1">
        <v>32293</v>
      </c>
      <c r="F7" s="1">
        <v>44529</v>
      </c>
      <c r="G7" s="5">
        <f t="shared" ca="1" si="0"/>
        <v>34</v>
      </c>
      <c r="H7" s="4" t="s">
        <v>148</v>
      </c>
      <c r="I7" s="4" t="s">
        <v>149</v>
      </c>
      <c r="J7" s="4">
        <v>40000</v>
      </c>
    </row>
    <row r="8" spans="1:10">
      <c r="A8" s="4" t="s">
        <v>21</v>
      </c>
      <c r="B8" s="4" t="s">
        <v>22</v>
      </c>
      <c r="C8" s="4" t="s">
        <v>20</v>
      </c>
      <c r="D8" s="4" t="s">
        <v>13</v>
      </c>
      <c r="E8" s="1">
        <v>31434</v>
      </c>
      <c r="F8" s="1">
        <v>44485</v>
      </c>
      <c r="G8" s="5">
        <f t="shared" ca="1" si="0"/>
        <v>36</v>
      </c>
      <c r="H8" s="4" t="s">
        <v>144</v>
      </c>
      <c r="I8" s="4" t="s">
        <v>145</v>
      </c>
      <c r="J8" s="4">
        <v>70034</v>
      </c>
    </row>
    <row r="9" spans="1:10">
      <c r="A9" s="4" t="s">
        <v>150</v>
      </c>
      <c r="B9" s="4" t="s">
        <v>26</v>
      </c>
      <c r="C9" s="4" t="s">
        <v>27</v>
      </c>
      <c r="D9" s="4" t="s">
        <v>16</v>
      </c>
      <c r="E9" s="1">
        <v>31216</v>
      </c>
      <c r="F9" s="1">
        <v>44487</v>
      </c>
      <c r="G9" s="5">
        <f t="shared" ca="1" si="0"/>
        <v>37</v>
      </c>
      <c r="H9" s="4" t="s">
        <v>144</v>
      </c>
      <c r="I9" s="4" t="s">
        <v>147</v>
      </c>
      <c r="J9" s="4">
        <v>20000</v>
      </c>
    </row>
    <row r="10" spans="1:10">
      <c r="A10" s="4" t="s">
        <v>30</v>
      </c>
      <c r="B10" s="4" t="s">
        <v>28</v>
      </c>
      <c r="C10" s="4" t="s">
        <v>29</v>
      </c>
      <c r="D10" s="4" t="s">
        <v>16</v>
      </c>
      <c r="E10" s="1">
        <v>33856</v>
      </c>
      <c r="F10" s="1">
        <v>44488</v>
      </c>
      <c r="G10" s="5">
        <f t="shared" ca="1" si="0"/>
        <v>30</v>
      </c>
      <c r="H10" s="4" t="s">
        <v>144</v>
      </c>
      <c r="I10" s="4" t="s">
        <v>147</v>
      </c>
      <c r="J10" s="4">
        <v>70034</v>
      </c>
    </row>
    <row r="11" spans="1:10">
      <c r="A11" s="4" t="s">
        <v>55</v>
      </c>
      <c r="B11" s="4" t="s">
        <v>56</v>
      </c>
      <c r="C11" s="4" t="s">
        <v>54</v>
      </c>
      <c r="D11" s="4" t="s">
        <v>13</v>
      </c>
      <c r="E11" s="1">
        <v>31684</v>
      </c>
      <c r="F11" s="1">
        <v>44498</v>
      </c>
      <c r="G11" s="5">
        <f t="shared" ca="1" si="0"/>
        <v>36</v>
      </c>
      <c r="H11" s="4" t="s">
        <v>144</v>
      </c>
      <c r="I11" s="4" t="s">
        <v>145</v>
      </c>
      <c r="J11" s="4">
        <v>20000</v>
      </c>
    </row>
    <row r="12" spans="1:10">
      <c r="A12" s="4" t="s">
        <v>64</v>
      </c>
      <c r="B12" s="4" t="s">
        <v>65</v>
      </c>
      <c r="C12" s="4" t="s">
        <v>63</v>
      </c>
      <c r="D12" s="4" t="s">
        <v>13</v>
      </c>
      <c r="E12" s="1">
        <v>30065</v>
      </c>
      <c r="F12" s="1">
        <v>44501</v>
      </c>
      <c r="G12" s="5">
        <f t="shared" ca="1" si="0"/>
        <v>40</v>
      </c>
      <c r="H12" s="4" t="s">
        <v>144</v>
      </c>
      <c r="I12" s="4" t="s">
        <v>146</v>
      </c>
      <c r="J12" s="4">
        <v>31000</v>
      </c>
    </row>
    <row r="13" spans="1:10">
      <c r="A13" s="4" t="s">
        <v>67</v>
      </c>
      <c r="B13" s="4" t="s">
        <v>32</v>
      </c>
      <c r="C13" s="4" t="s">
        <v>66</v>
      </c>
      <c r="D13" s="4" t="s">
        <v>16</v>
      </c>
      <c r="E13" s="1">
        <v>29640</v>
      </c>
      <c r="F13" s="1">
        <v>44502</v>
      </c>
      <c r="G13" s="5">
        <f t="shared" ca="1" si="0"/>
        <v>41</v>
      </c>
      <c r="H13" s="4" t="s">
        <v>144</v>
      </c>
      <c r="I13" s="4" t="s">
        <v>145</v>
      </c>
      <c r="J13" s="4">
        <v>20000</v>
      </c>
    </row>
    <row r="14" spans="1:10">
      <c r="A14" s="4" t="s">
        <v>68</v>
      </c>
      <c r="B14" s="4" t="s">
        <v>69</v>
      </c>
      <c r="C14" s="4" t="s">
        <v>34</v>
      </c>
      <c r="D14" s="4" t="s">
        <v>16</v>
      </c>
      <c r="E14" s="1">
        <v>27489</v>
      </c>
      <c r="F14" s="1">
        <v>44503</v>
      </c>
      <c r="G14" s="5">
        <f t="shared" ca="1" si="0"/>
        <v>47</v>
      </c>
      <c r="H14" s="4" t="s">
        <v>144</v>
      </c>
      <c r="I14" s="4" t="s">
        <v>146</v>
      </c>
      <c r="J14" s="4">
        <v>20000</v>
      </c>
    </row>
    <row r="15" spans="1:10">
      <c r="A15" s="4" t="s">
        <v>91</v>
      </c>
      <c r="B15" s="4" t="s">
        <v>18</v>
      </c>
      <c r="C15" s="4" t="s">
        <v>90</v>
      </c>
      <c r="D15" s="4" t="s">
        <v>13</v>
      </c>
      <c r="E15" s="1">
        <v>33214</v>
      </c>
      <c r="F15" s="1">
        <v>44513</v>
      </c>
      <c r="G15" s="5">
        <f t="shared" ca="1" si="0"/>
        <v>32</v>
      </c>
      <c r="H15" s="4" t="s">
        <v>144</v>
      </c>
      <c r="I15" s="4" t="s">
        <v>146</v>
      </c>
      <c r="J15" s="4">
        <v>100000</v>
      </c>
    </row>
    <row r="16" spans="1:10">
      <c r="A16" s="4" t="s">
        <v>115</v>
      </c>
      <c r="B16" s="4" t="s">
        <v>116</v>
      </c>
      <c r="C16" s="4" t="s">
        <v>114</v>
      </c>
      <c r="D16" s="4" t="s">
        <v>13</v>
      </c>
      <c r="E16" s="1">
        <v>33771</v>
      </c>
      <c r="F16" s="1">
        <v>44523</v>
      </c>
      <c r="G16" s="5">
        <f t="shared" ca="1" si="0"/>
        <v>30</v>
      </c>
      <c r="H16" s="4" t="s">
        <v>144</v>
      </c>
      <c r="I16" s="4" t="s">
        <v>145</v>
      </c>
      <c r="J16" s="4">
        <v>70034</v>
      </c>
    </row>
    <row r="17" spans="1:10">
      <c r="A17" s="4" t="s">
        <v>127</v>
      </c>
      <c r="B17" s="4" t="s">
        <v>25</v>
      </c>
      <c r="C17" s="4" t="s">
        <v>90</v>
      </c>
      <c r="D17" s="4" t="s">
        <v>13</v>
      </c>
      <c r="E17" s="1">
        <v>30009</v>
      </c>
      <c r="F17" s="1">
        <v>44528</v>
      </c>
      <c r="G17" s="5">
        <f t="shared" ca="1" si="0"/>
        <v>40</v>
      </c>
      <c r="H17" s="4" t="s">
        <v>144</v>
      </c>
      <c r="I17" s="4" t="s">
        <v>146</v>
      </c>
      <c r="J17" s="4">
        <v>70034</v>
      </c>
    </row>
    <row r="18" spans="1:10">
      <c r="A18" s="4" t="s">
        <v>10</v>
      </c>
      <c r="B18" s="4" t="s">
        <v>11</v>
      </c>
      <c r="C18" s="4" t="s">
        <v>12</v>
      </c>
      <c r="D18" s="4" t="s">
        <v>13</v>
      </c>
      <c r="E18" s="1">
        <v>30722</v>
      </c>
      <c r="F18" s="1">
        <v>44482</v>
      </c>
      <c r="G18" s="5">
        <f t="shared" ca="1" si="0"/>
        <v>38</v>
      </c>
      <c r="H18" s="4" t="s">
        <v>133</v>
      </c>
      <c r="I18" s="4" t="s">
        <v>141</v>
      </c>
      <c r="J18" s="4">
        <v>20000</v>
      </c>
    </row>
    <row r="19" spans="1:10">
      <c r="A19" s="4" t="s">
        <v>150</v>
      </c>
      <c r="B19" s="4" t="s">
        <v>14</v>
      </c>
      <c r="C19" s="4" t="s">
        <v>15</v>
      </c>
      <c r="D19" s="4" t="s">
        <v>16</v>
      </c>
      <c r="E19" s="2">
        <v>33057</v>
      </c>
      <c r="F19" s="1">
        <v>44483</v>
      </c>
      <c r="G19" s="5">
        <f t="shared" ca="1" si="0"/>
        <v>32</v>
      </c>
      <c r="H19" s="4" t="s">
        <v>133</v>
      </c>
      <c r="I19" s="4" t="s">
        <v>139</v>
      </c>
      <c r="J19" s="4">
        <v>20000</v>
      </c>
    </row>
    <row r="20" spans="1:10">
      <c r="A20" s="4" t="s">
        <v>17</v>
      </c>
      <c r="B20" s="4" t="s">
        <v>18</v>
      </c>
      <c r="C20" s="4" t="s">
        <v>19</v>
      </c>
      <c r="D20" s="4" t="s">
        <v>13</v>
      </c>
      <c r="E20" s="1">
        <v>31518</v>
      </c>
      <c r="F20" s="1">
        <v>44484</v>
      </c>
      <c r="G20" s="5">
        <f t="shared" ca="1" si="0"/>
        <v>36</v>
      </c>
      <c r="H20" s="4" t="s">
        <v>133</v>
      </c>
      <c r="I20" s="4" t="s">
        <v>140</v>
      </c>
      <c r="J20" s="4">
        <v>20000</v>
      </c>
    </row>
    <row r="21" spans="1:10">
      <c r="A21" s="4" t="s">
        <v>24</v>
      </c>
      <c r="B21" s="4" t="s">
        <v>25</v>
      </c>
      <c r="C21" s="4" t="s">
        <v>23</v>
      </c>
      <c r="D21" s="4" t="s">
        <v>13</v>
      </c>
      <c r="E21" s="1">
        <v>33806</v>
      </c>
      <c r="F21" s="1">
        <v>44486</v>
      </c>
      <c r="G21" s="5">
        <f t="shared" ca="1" si="0"/>
        <v>30</v>
      </c>
      <c r="H21" s="4" t="s">
        <v>133</v>
      </c>
      <c r="I21" s="4" t="s">
        <v>137</v>
      </c>
      <c r="J21" s="4">
        <v>70034</v>
      </c>
    </row>
    <row r="22" spans="1:10">
      <c r="A22" s="4" t="s">
        <v>152</v>
      </c>
      <c r="B22" s="4" t="s">
        <v>32</v>
      </c>
      <c r="C22" s="4" t="s">
        <v>136</v>
      </c>
      <c r="D22" s="4" t="s">
        <v>16</v>
      </c>
      <c r="E22" s="1">
        <v>30198</v>
      </c>
      <c r="F22" s="1">
        <v>44489</v>
      </c>
      <c r="G22" s="5">
        <f t="shared" ca="1" si="0"/>
        <v>40</v>
      </c>
      <c r="H22" s="4" t="s">
        <v>133</v>
      </c>
      <c r="I22" s="4" t="s">
        <v>140</v>
      </c>
      <c r="J22" s="4">
        <v>21310</v>
      </c>
    </row>
    <row r="23" spans="1:10">
      <c r="A23" s="4" t="s">
        <v>33</v>
      </c>
      <c r="B23" s="4" t="s">
        <v>32</v>
      </c>
      <c r="C23" s="4" t="s">
        <v>34</v>
      </c>
      <c r="D23" s="4" t="s">
        <v>16</v>
      </c>
      <c r="E23" s="1">
        <v>31887</v>
      </c>
      <c r="F23" s="1">
        <v>44490</v>
      </c>
      <c r="G23" s="5">
        <f t="shared" ca="1" si="0"/>
        <v>35</v>
      </c>
      <c r="H23" s="4" t="s">
        <v>133</v>
      </c>
      <c r="I23" s="4" t="s">
        <v>137</v>
      </c>
      <c r="J23" s="4">
        <v>70034</v>
      </c>
    </row>
    <row r="24" spans="1:10">
      <c r="A24" s="4" t="s">
        <v>40</v>
      </c>
      <c r="B24" s="4" t="s">
        <v>39</v>
      </c>
      <c r="C24" s="4" t="s">
        <v>38</v>
      </c>
      <c r="D24" s="4" t="s">
        <v>13</v>
      </c>
      <c r="E24" s="1">
        <v>32646</v>
      </c>
      <c r="F24" s="1">
        <v>44492</v>
      </c>
      <c r="G24" s="5">
        <f t="shared" ca="1" si="0"/>
        <v>33</v>
      </c>
      <c r="H24" s="4" t="s">
        <v>133</v>
      </c>
      <c r="I24" s="4" t="s">
        <v>140</v>
      </c>
      <c r="J24" s="4">
        <v>100000</v>
      </c>
    </row>
    <row r="25" spans="1:10">
      <c r="A25" s="4" t="s">
        <v>151</v>
      </c>
      <c r="B25" s="4" t="s">
        <v>45</v>
      </c>
      <c r="C25" s="4" t="s">
        <v>44</v>
      </c>
      <c r="D25" s="4" t="s">
        <v>13</v>
      </c>
      <c r="E25" s="1">
        <v>27847</v>
      </c>
      <c r="F25" s="1">
        <v>44494</v>
      </c>
      <c r="G25" s="5">
        <f t="shared" ca="1" si="0"/>
        <v>46</v>
      </c>
      <c r="H25" s="4" t="s">
        <v>133</v>
      </c>
      <c r="I25" s="4" t="s">
        <v>137</v>
      </c>
      <c r="J25" s="4">
        <v>100000</v>
      </c>
    </row>
    <row r="26" spans="1:10">
      <c r="A26" s="4" t="s">
        <v>47</v>
      </c>
      <c r="B26" s="4" t="s">
        <v>48</v>
      </c>
      <c r="C26" s="4" t="s">
        <v>46</v>
      </c>
      <c r="D26" s="4" t="s">
        <v>13</v>
      </c>
      <c r="E26" s="1">
        <v>33082</v>
      </c>
      <c r="F26" s="1">
        <v>44495</v>
      </c>
      <c r="G26" s="5">
        <f t="shared" ca="1" si="0"/>
        <v>32</v>
      </c>
      <c r="H26" s="4" t="s">
        <v>133</v>
      </c>
      <c r="I26" s="4" t="s">
        <v>140</v>
      </c>
      <c r="J26" s="4">
        <v>31000</v>
      </c>
    </row>
    <row r="27" spans="1:10">
      <c r="A27" s="4" t="s">
        <v>50</v>
      </c>
      <c r="B27" s="4" t="s">
        <v>51</v>
      </c>
      <c r="C27" s="4" t="s">
        <v>49</v>
      </c>
      <c r="D27" s="4" t="s">
        <v>13</v>
      </c>
      <c r="E27" s="1">
        <v>28967</v>
      </c>
      <c r="F27" s="1">
        <v>44496</v>
      </c>
      <c r="G27" s="5">
        <f t="shared" ca="1" si="0"/>
        <v>43</v>
      </c>
      <c r="H27" s="4" t="s">
        <v>133</v>
      </c>
      <c r="I27" s="4" t="s">
        <v>137</v>
      </c>
      <c r="J27" s="4">
        <v>100000</v>
      </c>
    </row>
    <row r="28" spans="1:10">
      <c r="A28" s="4" t="s">
        <v>53</v>
      </c>
      <c r="B28" s="4" t="s">
        <v>14</v>
      </c>
      <c r="C28" s="4" t="s">
        <v>52</v>
      </c>
      <c r="D28" s="4" t="s">
        <v>16</v>
      </c>
      <c r="E28" s="1">
        <v>30813</v>
      </c>
      <c r="F28" s="1">
        <v>44497</v>
      </c>
      <c r="G28" s="5">
        <f t="shared" ca="1" si="0"/>
        <v>38</v>
      </c>
      <c r="H28" s="4" t="s">
        <v>133</v>
      </c>
      <c r="I28" s="4" t="s">
        <v>139</v>
      </c>
      <c r="J28" s="4">
        <v>20000</v>
      </c>
    </row>
    <row r="29" spans="1:10">
      <c r="A29" s="4" t="s">
        <v>58</v>
      </c>
      <c r="B29" s="4" t="s">
        <v>59</v>
      </c>
      <c r="C29" s="4" t="s">
        <v>57</v>
      </c>
      <c r="D29" s="4" t="s">
        <v>16</v>
      </c>
      <c r="E29" s="1">
        <v>30716</v>
      </c>
      <c r="F29" s="1">
        <v>44499</v>
      </c>
      <c r="G29" s="5">
        <f t="shared" ca="1" si="0"/>
        <v>38</v>
      </c>
      <c r="H29" s="4" t="s">
        <v>133</v>
      </c>
      <c r="I29" s="4" t="s">
        <v>137</v>
      </c>
      <c r="J29" s="4">
        <v>20000</v>
      </c>
    </row>
    <row r="30" spans="1:10">
      <c r="A30" s="4" t="s">
        <v>61</v>
      </c>
      <c r="B30" s="4" t="s">
        <v>62</v>
      </c>
      <c r="C30" s="4" t="s">
        <v>60</v>
      </c>
      <c r="D30" s="4" t="s">
        <v>13</v>
      </c>
      <c r="E30" s="1">
        <v>28208</v>
      </c>
      <c r="F30" s="1">
        <v>44500</v>
      </c>
      <c r="G30" s="5">
        <f t="shared" ca="1" si="0"/>
        <v>45</v>
      </c>
      <c r="H30" s="4" t="s">
        <v>133</v>
      </c>
      <c r="I30" s="4" t="s">
        <v>139</v>
      </c>
      <c r="J30" s="4">
        <v>31000</v>
      </c>
    </row>
    <row r="31" spans="1:10">
      <c r="A31" s="4" t="s">
        <v>74</v>
      </c>
      <c r="B31" s="4" t="s">
        <v>75</v>
      </c>
      <c r="C31" s="4" t="s">
        <v>73</v>
      </c>
      <c r="D31" s="4" t="s">
        <v>16</v>
      </c>
      <c r="E31" s="1">
        <v>29576</v>
      </c>
      <c r="F31" s="1">
        <v>44505</v>
      </c>
      <c r="G31" s="5">
        <f t="shared" ca="1" si="0"/>
        <v>42</v>
      </c>
      <c r="H31" s="4" t="s">
        <v>133</v>
      </c>
      <c r="I31" s="4" t="s">
        <v>138</v>
      </c>
      <c r="J31" s="4">
        <v>31000</v>
      </c>
    </row>
    <row r="32" spans="1:10">
      <c r="A32" s="4" t="s">
        <v>77</v>
      </c>
      <c r="B32" s="4" t="s">
        <v>65</v>
      </c>
      <c r="C32" s="4" t="s">
        <v>76</v>
      </c>
      <c r="D32" s="4" t="s">
        <v>13</v>
      </c>
      <c r="E32" s="1">
        <v>28784</v>
      </c>
      <c r="F32" s="1">
        <v>44506</v>
      </c>
      <c r="G32" s="5">
        <f t="shared" ca="1" si="0"/>
        <v>44</v>
      </c>
      <c r="H32" s="4" t="s">
        <v>133</v>
      </c>
      <c r="I32" s="4" t="s">
        <v>139</v>
      </c>
      <c r="J32" s="4">
        <v>100000</v>
      </c>
    </row>
    <row r="33" spans="1:10">
      <c r="A33" s="4" t="s">
        <v>81</v>
      </c>
      <c r="B33" s="4" t="s">
        <v>32</v>
      </c>
      <c r="C33" s="4" t="s">
        <v>80</v>
      </c>
      <c r="D33" s="4" t="s">
        <v>16</v>
      </c>
      <c r="E33" s="1">
        <v>30702</v>
      </c>
      <c r="F33" s="1">
        <v>44508</v>
      </c>
      <c r="G33" s="5">
        <f t="shared" ca="1" si="0"/>
        <v>38</v>
      </c>
      <c r="H33" s="4" t="s">
        <v>133</v>
      </c>
      <c r="I33" s="4" t="s">
        <v>138</v>
      </c>
      <c r="J33" s="4">
        <v>100000</v>
      </c>
    </row>
    <row r="34" spans="1:10">
      <c r="A34" s="4" t="s">
        <v>83</v>
      </c>
      <c r="B34" s="4" t="s">
        <v>84</v>
      </c>
      <c r="C34" s="4" t="s">
        <v>82</v>
      </c>
      <c r="D34" s="4" t="s">
        <v>16</v>
      </c>
      <c r="E34" s="1">
        <v>28388</v>
      </c>
      <c r="F34" s="1">
        <v>44509</v>
      </c>
      <c r="G34" s="5">
        <f t="shared" ref="G34:G50" ca="1" si="1">INT(YEAR(TODAY()))-INT(YEAR(E34))</f>
        <v>45</v>
      </c>
      <c r="H34" s="4" t="s">
        <v>133</v>
      </c>
      <c r="I34" s="4" t="s">
        <v>139</v>
      </c>
      <c r="J34" s="4">
        <v>20000</v>
      </c>
    </row>
    <row r="35" spans="1:10">
      <c r="A35" s="4" t="s">
        <v>85</v>
      </c>
      <c r="B35" s="4" t="s">
        <v>86</v>
      </c>
      <c r="C35" s="4" t="s">
        <v>73</v>
      </c>
      <c r="D35" s="4" t="s">
        <v>16</v>
      </c>
      <c r="E35" s="1">
        <v>33174</v>
      </c>
      <c r="F35" s="1">
        <v>44510</v>
      </c>
      <c r="G35" s="5">
        <f t="shared" ca="1" si="1"/>
        <v>32</v>
      </c>
      <c r="H35" s="4" t="s">
        <v>133</v>
      </c>
      <c r="I35" s="4" t="s">
        <v>138</v>
      </c>
      <c r="J35" s="4">
        <v>21310</v>
      </c>
    </row>
    <row r="36" spans="1:10">
      <c r="A36" s="4" t="s">
        <v>88</v>
      </c>
      <c r="B36" s="4" t="s">
        <v>89</v>
      </c>
      <c r="C36" s="4" t="s">
        <v>87</v>
      </c>
      <c r="D36" s="4" t="s">
        <v>13</v>
      </c>
      <c r="E36" s="1">
        <v>31904</v>
      </c>
      <c r="F36" s="1">
        <v>44511</v>
      </c>
      <c r="G36" s="5">
        <f t="shared" ca="1" si="1"/>
        <v>35</v>
      </c>
      <c r="H36" s="4" t="s">
        <v>133</v>
      </c>
      <c r="I36" s="4" t="s">
        <v>142</v>
      </c>
      <c r="J36" s="4">
        <v>31000</v>
      </c>
    </row>
    <row r="37" spans="1:10">
      <c r="A37" s="4" t="s">
        <v>47</v>
      </c>
      <c r="B37" s="4" t="s">
        <v>62</v>
      </c>
      <c r="C37" s="4" t="s">
        <v>20</v>
      </c>
      <c r="D37" s="4" t="s">
        <v>13</v>
      </c>
      <c r="E37" s="1">
        <v>29561</v>
      </c>
      <c r="F37" s="1">
        <v>44512</v>
      </c>
      <c r="G37" s="5">
        <f t="shared" ca="1" si="1"/>
        <v>42</v>
      </c>
      <c r="H37" s="4" t="s">
        <v>133</v>
      </c>
      <c r="I37" s="4" t="s">
        <v>138</v>
      </c>
      <c r="J37" s="4">
        <v>100000</v>
      </c>
    </row>
    <row r="38" spans="1:10">
      <c r="A38" s="4" t="s">
        <v>92</v>
      </c>
      <c r="B38" s="4" t="s">
        <v>93</v>
      </c>
      <c r="C38" s="4" t="s">
        <v>20</v>
      </c>
      <c r="D38" s="4" t="s">
        <v>13</v>
      </c>
      <c r="E38" s="1">
        <v>28186</v>
      </c>
      <c r="F38" s="1">
        <v>44514</v>
      </c>
      <c r="G38" s="5">
        <f t="shared" ca="1" si="1"/>
        <v>45</v>
      </c>
      <c r="H38" s="4" t="s">
        <v>133</v>
      </c>
      <c r="I38" s="4" t="s">
        <v>138</v>
      </c>
      <c r="J38" s="4">
        <v>31000</v>
      </c>
    </row>
    <row r="39" spans="1:10">
      <c r="A39" s="4" t="s">
        <v>94</v>
      </c>
      <c r="B39" s="4" t="s">
        <v>31</v>
      </c>
      <c r="C39" s="4" t="s">
        <v>66</v>
      </c>
      <c r="D39" s="4" t="s">
        <v>16</v>
      </c>
      <c r="E39" s="1">
        <v>29857</v>
      </c>
      <c r="F39" s="1">
        <v>44515</v>
      </c>
      <c r="G39" s="5">
        <f t="shared" ca="1" si="1"/>
        <v>41</v>
      </c>
      <c r="H39" s="4" t="s">
        <v>133</v>
      </c>
      <c r="I39" s="4" t="s">
        <v>137</v>
      </c>
      <c r="J39" s="4">
        <v>31000</v>
      </c>
    </row>
    <row r="40" spans="1:10">
      <c r="A40" s="4" t="s">
        <v>96</v>
      </c>
      <c r="B40" s="4" t="s">
        <v>95</v>
      </c>
      <c r="C40" s="4" t="s">
        <v>97</v>
      </c>
      <c r="D40" s="4" t="s">
        <v>16</v>
      </c>
      <c r="E40" s="1">
        <v>28780</v>
      </c>
      <c r="F40" s="1">
        <v>44516</v>
      </c>
      <c r="G40" s="5">
        <f t="shared" ca="1" si="1"/>
        <v>44</v>
      </c>
      <c r="H40" s="4" t="s">
        <v>133</v>
      </c>
      <c r="I40" s="4" t="s">
        <v>137</v>
      </c>
      <c r="J40" s="4">
        <v>20000</v>
      </c>
    </row>
    <row r="41" spans="1:10">
      <c r="A41" s="4" t="s">
        <v>99</v>
      </c>
      <c r="B41" s="4" t="s">
        <v>98</v>
      </c>
      <c r="C41" s="4" t="s">
        <v>100</v>
      </c>
      <c r="D41" s="4" t="s">
        <v>13</v>
      </c>
      <c r="E41" s="1">
        <v>33678</v>
      </c>
      <c r="F41" s="1">
        <v>44517</v>
      </c>
      <c r="G41" s="5">
        <f t="shared" ca="1" si="1"/>
        <v>30</v>
      </c>
      <c r="H41" s="4" t="s">
        <v>133</v>
      </c>
      <c r="I41" s="4" t="s">
        <v>138</v>
      </c>
      <c r="J41" s="4">
        <v>20000</v>
      </c>
    </row>
    <row r="42" spans="1:10">
      <c r="A42" s="4" t="s">
        <v>102</v>
      </c>
      <c r="B42" s="4" t="s">
        <v>101</v>
      </c>
      <c r="C42" s="4" t="s">
        <v>103</v>
      </c>
      <c r="D42" s="4" t="s">
        <v>13</v>
      </c>
      <c r="E42" s="1">
        <v>30463</v>
      </c>
      <c r="F42" s="1">
        <v>44518</v>
      </c>
      <c r="G42" s="5">
        <f t="shared" ca="1" si="1"/>
        <v>39</v>
      </c>
      <c r="H42" s="4" t="s">
        <v>133</v>
      </c>
      <c r="I42" s="4" t="s">
        <v>139</v>
      </c>
      <c r="J42" s="4">
        <v>20000</v>
      </c>
    </row>
    <row r="43" spans="1:10">
      <c r="A43" s="4" t="s">
        <v>107</v>
      </c>
      <c r="B43" s="4" t="s">
        <v>108</v>
      </c>
      <c r="C43" s="4" t="s">
        <v>66</v>
      </c>
      <c r="D43" s="4" t="s">
        <v>16</v>
      </c>
      <c r="E43" s="1">
        <v>29547</v>
      </c>
      <c r="F43" s="1">
        <v>44520</v>
      </c>
      <c r="G43" s="5">
        <f t="shared" ca="1" si="1"/>
        <v>42</v>
      </c>
      <c r="H43" s="4" t="s">
        <v>133</v>
      </c>
      <c r="I43" s="4" t="s">
        <v>138</v>
      </c>
      <c r="J43" s="4">
        <v>100000</v>
      </c>
    </row>
    <row r="44" spans="1:10">
      <c r="A44" s="4" t="s">
        <v>109</v>
      </c>
      <c r="B44" s="4" t="s">
        <v>110</v>
      </c>
      <c r="C44" s="4" t="s">
        <v>20</v>
      </c>
      <c r="D44" s="4" t="s">
        <v>13</v>
      </c>
      <c r="E44" s="1">
        <v>28277</v>
      </c>
      <c r="F44" s="1">
        <v>44521</v>
      </c>
      <c r="G44" s="5">
        <f t="shared" ca="1" si="1"/>
        <v>45</v>
      </c>
      <c r="H44" s="4" t="s">
        <v>133</v>
      </c>
      <c r="I44" s="4" t="s">
        <v>137</v>
      </c>
      <c r="J44" s="4">
        <v>80000</v>
      </c>
    </row>
    <row r="45" spans="1:10">
      <c r="A45" s="4" t="s">
        <v>112</v>
      </c>
      <c r="B45" s="4" t="s">
        <v>113</v>
      </c>
      <c r="C45" s="4" t="s">
        <v>111</v>
      </c>
      <c r="D45" s="4" t="s">
        <v>13</v>
      </c>
      <c r="E45" s="1">
        <v>32297</v>
      </c>
      <c r="F45" s="1">
        <v>44522</v>
      </c>
      <c r="G45" s="5">
        <f t="shared" ca="1" si="1"/>
        <v>34</v>
      </c>
      <c r="H45" s="4" t="s">
        <v>133</v>
      </c>
      <c r="I45" s="4" t="s">
        <v>137</v>
      </c>
      <c r="J45" s="4">
        <v>80000</v>
      </c>
    </row>
    <row r="46" spans="1:10">
      <c r="A46" s="4" t="s">
        <v>117</v>
      </c>
      <c r="B46" s="4" t="s">
        <v>118</v>
      </c>
      <c r="C46" s="4" t="s">
        <v>76</v>
      </c>
      <c r="D46" s="4" t="s">
        <v>13</v>
      </c>
      <c r="E46" s="1">
        <v>29038</v>
      </c>
      <c r="F46" s="1">
        <v>44524</v>
      </c>
      <c r="G46" s="5">
        <f t="shared" ca="1" si="1"/>
        <v>43</v>
      </c>
      <c r="H46" s="4" t="s">
        <v>133</v>
      </c>
      <c r="I46" s="4" t="s">
        <v>138</v>
      </c>
      <c r="J46" s="4">
        <v>100000</v>
      </c>
    </row>
    <row r="47" spans="1:10">
      <c r="A47" s="4" t="s">
        <v>120</v>
      </c>
      <c r="B47" s="4" t="s">
        <v>121</v>
      </c>
      <c r="C47" s="4" t="s">
        <v>119</v>
      </c>
      <c r="D47" s="4" t="s">
        <v>13</v>
      </c>
      <c r="E47" s="1">
        <v>27732</v>
      </c>
      <c r="F47" s="1">
        <v>44525</v>
      </c>
      <c r="G47" s="5">
        <f t="shared" ca="1" si="1"/>
        <v>47</v>
      </c>
      <c r="H47" s="4" t="s">
        <v>133</v>
      </c>
      <c r="I47" s="4" t="s">
        <v>137</v>
      </c>
      <c r="J47" s="4">
        <v>100000</v>
      </c>
    </row>
    <row r="48" spans="1:10">
      <c r="A48" s="4" t="s">
        <v>122</v>
      </c>
      <c r="B48" s="4" t="s">
        <v>123</v>
      </c>
      <c r="C48" s="4" t="s">
        <v>57</v>
      </c>
      <c r="D48" s="4" t="s">
        <v>16</v>
      </c>
      <c r="E48" s="1">
        <v>29808</v>
      </c>
      <c r="F48" s="1">
        <v>44526</v>
      </c>
      <c r="G48" s="5">
        <f t="shared" ca="1" si="1"/>
        <v>41</v>
      </c>
      <c r="H48" s="4" t="s">
        <v>133</v>
      </c>
      <c r="I48" s="4" t="s">
        <v>139</v>
      </c>
      <c r="J48" s="4">
        <v>100000</v>
      </c>
    </row>
    <row r="49" spans="1:10">
      <c r="A49" s="4" t="s">
        <v>125</v>
      </c>
      <c r="B49" s="4" t="s">
        <v>126</v>
      </c>
      <c r="C49" s="4" t="s">
        <v>124</v>
      </c>
      <c r="D49" s="4" t="s">
        <v>13</v>
      </c>
      <c r="E49" s="1">
        <v>29109</v>
      </c>
      <c r="F49" s="1">
        <v>44527</v>
      </c>
      <c r="G49" s="5">
        <f t="shared" ca="1" si="1"/>
        <v>43</v>
      </c>
      <c r="H49" s="4" t="s">
        <v>133</v>
      </c>
      <c r="I49" s="4" t="s">
        <v>137</v>
      </c>
      <c r="J49" s="4">
        <v>211000</v>
      </c>
    </row>
    <row r="50" spans="1:10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t="shared" ca="1" si="1"/>
        <v>37</v>
      </c>
      <c r="H50" s="4" t="s">
        <v>133</v>
      </c>
      <c r="I50" s="4" t="s">
        <v>143</v>
      </c>
      <c r="J50" s="4">
        <v>21310</v>
      </c>
    </row>
  </sheetData>
  <sortState ref="A2:J50">
    <sortCondition ref="H2:H50" customList="Клининг,Маркетинг,IT"/>
  </sortState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1:J50"/>
  <sheetViews>
    <sheetView workbookViewId="0">
      <selection activeCell="C1" sqref="C1"/>
    </sheetView>
  </sheetViews>
  <sheetFormatPr defaultRowHeight="15"/>
  <cols>
    <col min="1" max="1" width="19.7109375" customWidth="1"/>
    <col min="2" max="2" width="16.42578125" customWidth="1"/>
    <col min="3" max="3" width="24.42578125" customWidth="1"/>
    <col min="5" max="5" width="15.5703125" customWidth="1"/>
    <col min="6" max="6" width="14.5703125" customWidth="1"/>
    <col min="8" max="8" width="18.7109375" customWidth="1"/>
    <col min="9" max="9" width="25.570312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 hidden="1">
      <c r="A2" s="4" t="s">
        <v>37</v>
      </c>
      <c r="B2" s="4" t="s">
        <v>36</v>
      </c>
      <c r="C2" s="4" t="s">
        <v>35</v>
      </c>
      <c r="D2" s="4" t="s">
        <v>16</v>
      </c>
      <c r="E2" s="1">
        <v>28013</v>
      </c>
      <c r="F2" s="1">
        <v>44491</v>
      </c>
      <c r="G2" s="5">
        <f t="shared" ref="G2:G33" ca="1" si="0">INT(YEAR(TODAY()))-INT(YEAR(E2))</f>
        <v>46</v>
      </c>
      <c r="H2" s="4" t="s">
        <v>148</v>
      </c>
      <c r="I2" s="4" t="s">
        <v>149</v>
      </c>
      <c r="J2" s="4">
        <v>70034</v>
      </c>
    </row>
    <row r="3" spans="1:10" hidden="1">
      <c r="A3" s="4" t="s">
        <v>43</v>
      </c>
      <c r="B3" s="4" t="s">
        <v>42</v>
      </c>
      <c r="C3" s="4" t="s">
        <v>41</v>
      </c>
      <c r="D3" s="4" t="s">
        <v>13</v>
      </c>
      <c r="E3" s="1">
        <v>29013</v>
      </c>
      <c r="F3" s="1">
        <v>44493</v>
      </c>
      <c r="G3" s="5">
        <f t="shared" ca="1" si="0"/>
        <v>43</v>
      </c>
      <c r="H3" s="4" t="s">
        <v>148</v>
      </c>
      <c r="I3" s="4" t="s">
        <v>149</v>
      </c>
      <c r="J3" s="4">
        <v>70034</v>
      </c>
    </row>
    <row r="4" spans="1:10">
      <c r="A4" s="4" t="s">
        <v>71</v>
      </c>
      <c r="B4" s="4" t="s">
        <v>72</v>
      </c>
      <c r="C4" s="4" t="s">
        <v>70</v>
      </c>
      <c r="D4" s="4" t="s">
        <v>16</v>
      </c>
      <c r="E4" s="1">
        <v>32912</v>
      </c>
      <c r="F4" s="1">
        <v>44504</v>
      </c>
      <c r="G4" s="5">
        <f t="shared" ca="1" si="0"/>
        <v>32</v>
      </c>
      <c r="H4" s="4" t="s">
        <v>148</v>
      </c>
      <c r="I4" s="4" t="s">
        <v>149</v>
      </c>
      <c r="J4" s="4">
        <v>20000</v>
      </c>
    </row>
    <row r="5" spans="1:10" hidden="1">
      <c r="A5" s="4" t="s">
        <v>78</v>
      </c>
      <c r="B5" s="4" t="s">
        <v>79</v>
      </c>
      <c r="C5" s="4" t="s">
        <v>41</v>
      </c>
      <c r="D5" s="4" t="s">
        <v>13</v>
      </c>
      <c r="E5" s="1">
        <v>28136</v>
      </c>
      <c r="F5" s="1">
        <v>44507</v>
      </c>
      <c r="G5" s="5">
        <f t="shared" ca="1" si="0"/>
        <v>45</v>
      </c>
      <c r="H5" s="4" t="s">
        <v>148</v>
      </c>
      <c r="I5" s="4" t="s">
        <v>149</v>
      </c>
      <c r="J5" s="4">
        <v>40000</v>
      </c>
    </row>
    <row r="6" spans="1:10" hidden="1">
      <c r="A6" s="4" t="s">
        <v>105</v>
      </c>
      <c r="B6" s="4" t="s">
        <v>106</v>
      </c>
      <c r="C6" s="4" t="s">
        <v>104</v>
      </c>
      <c r="D6" s="4" t="s">
        <v>16</v>
      </c>
      <c r="E6" s="1">
        <v>32382</v>
      </c>
      <c r="F6" s="1">
        <v>44519</v>
      </c>
      <c r="G6" s="5">
        <f t="shared" ca="1" si="0"/>
        <v>34</v>
      </c>
      <c r="H6" s="4" t="s">
        <v>148</v>
      </c>
      <c r="I6" s="4" t="s">
        <v>149</v>
      </c>
      <c r="J6" s="4">
        <v>70034</v>
      </c>
    </row>
    <row r="7" spans="1:10" hidden="1">
      <c r="A7" s="4" t="s">
        <v>129</v>
      </c>
      <c r="B7" s="4" t="s">
        <v>121</v>
      </c>
      <c r="C7" s="4" t="s">
        <v>128</v>
      </c>
      <c r="D7" s="4" t="s">
        <v>13</v>
      </c>
      <c r="E7" s="1">
        <v>32293</v>
      </c>
      <c r="F7" s="1">
        <v>44529</v>
      </c>
      <c r="G7" s="5">
        <f t="shared" ca="1" si="0"/>
        <v>34</v>
      </c>
      <c r="H7" s="4" t="s">
        <v>148</v>
      </c>
      <c r="I7" s="4" t="s">
        <v>149</v>
      </c>
      <c r="J7" s="4">
        <v>40000</v>
      </c>
    </row>
    <row r="8" spans="1:10" hidden="1">
      <c r="A8" s="4" t="s">
        <v>21</v>
      </c>
      <c r="B8" s="4" t="s">
        <v>22</v>
      </c>
      <c r="C8" s="4" t="s">
        <v>20</v>
      </c>
      <c r="D8" s="4" t="s">
        <v>13</v>
      </c>
      <c r="E8" s="1">
        <v>31434</v>
      </c>
      <c r="F8" s="1">
        <v>44485</v>
      </c>
      <c r="G8" s="5">
        <f t="shared" ca="1" si="0"/>
        <v>36</v>
      </c>
      <c r="H8" s="4" t="s">
        <v>144</v>
      </c>
      <c r="I8" s="4" t="s">
        <v>145</v>
      </c>
      <c r="J8" s="4">
        <v>70034</v>
      </c>
    </row>
    <row r="9" spans="1:10" hidden="1">
      <c r="A9" s="4" t="s">
        <v>150</v>
      </c>
      <c r="B9" s="4" t="s">
        <v>26</v>
      </c>
      <c r="C9" s="4" t="s">
        <v>27</v>
      </c>
      <c r="D9" s="4" t="s">
        <v>16</v>
      </c>
      <c r="E9" s="1">
        <v>31216</v>
      </c>
      <c r="F9" s="1">
        <v>44487</v>
      </c>
      <c r="G9" s="5">
        <f t="shared" ca="1" si="0"/>
        <v>37</v>
      </c>
      <c r="H9" s="4" t="s">
        <v>144</v>
      </c>
      <c r="I9" s="4" t="s">
        <v>147</v>
      </c>
      <c r="J9" s="4">
        <v>20000</v>
      </c>
    </row>
    <row r="10" spans="1:10">
      <c r="A10" s="4" t="s">
        <v>30</v>
      </c>
      <c r="B10" s="4" t="s">
        <v>28</v>
      </c>
      <c r="C10" s="4" t="s">
        <v>29</v>
      </c>
      <c r="D10" s="4" t="s">
        <v>16</v>
      </c>
      <c r="E10" s="1">
        <v>33856</v>
      </c>
      <c r="F10" s="1">
        <v>44488</v>
      </c>
      <c r="G10" s="5">
        <f t="shared" ca="1" si="0"/>
        <v>30</v>
      </c>
      <c r="H10" s="4" t="s">
        <v>144</v>
      </c>
      <c r="I10" s="4" t="s">
        <v>147</v>
      </c>
      <c r="J10" s="4">
        <v>70034</v>
      </c>
    </row>
    <row r="11" spans="1:10" hidden="1">
      <c r="A11" s="4" t="s">
        <v>55</v>
      </c>
      <c r="B11" s="4" t="s">
        <v>56</v>
      </c>
      <c r="C11" s="4" t="s">
        <v>54</v>
      </c>
      <c r="D11" s="4" t="s">
        <v>13</v>
      </c>
      <c r="E11" s="1">
        <v>31684</v>
      </c>
      <c r="F11" s="1">
        <v>44498</v>
      </c>
      <c r="G11" s="5">
        <f t="shared" ca="1" si="0"/>
        <v>36</v>
      </c>
      <c r="H11" s="4" t="s">
        <v>144</v>
      </c>
      <c r="I11" s="4" t="s">
        <v>145</v>
      </c>
      <c r="J11" s="4">
        <v>20000</v>
      </c>
    </row>
    <row r="12" spans="1:10" hidden="1">
      <c r="A12" s="4" t="s">
        <v>64</v>
      </c>
      <c r="B12" s="4" t="s">
        <v>65</v>
      </c>
      <c r="C12" s="4" t="s">
        <v>63</v>
      </c>
      <c r="D12" s="4" t="s">
        <v>13</v>
      </c>
      <c r="E12" s="1">
        <v>30065</v>
      </c>
      <c r="F12" s="1">
        <v>44501</v>
      </c>
      <c r="G12" s="5">
        <f t="shared" ca="1" si="0"/>
        <v>40</v>
      </c>
      <c r="H12" s="4" t="s">
        <v>144</v>
      </c>
      <c r="I12" s="4" t="s">
        <v>146</v>
      </c>
      <c r="J12" s="4">
        <v>31000</v>
      </c>
    </row>
    <row r="13" spans="1:10" hidden="1">
      <c r="A13" s="4" t="s">
        <v>67</v>
      </c>
      <c r="B13" s="4" t="s">
        <v>32</v>
      </c>
      <c r="C13" s="4" t="s">
        <v>66</v>
      </c>
      <c r="D13" s="4" t="s">
        <v>16</v>
      </c>
      <c r="E13" s="1">
        <v>29640</v>
      </c>
      <c r="F13" s="1">
        <v>44502</v>
      </c>
      <c r="G13" s="5">
        <f t="shared" ca="1" si="0"/>
        <v>41</v>
      </c>
      <c r="H13" s="4" t="s">
        <v>144</v>
      </c>
      <c r="I13" s="4" t="s">
        <v>145</v>
      </c>
      <c r="J13" s="4">
        <v>20000</v>
      </c>
    </row>
    <row r="14" spans="1:10" hidden="1">
      <c r="A14" s="4" t="s">
        <v>68</v>
      </c>
      <c r="B14" s="4" t="s">
        <v>69</v>
      </c>
      <c r="C14" s="4" t="s">
        <v>34</v>
      </c>
      <c r="D14" s="4" t="s">
        <v>16</v>
      </c>
      <c r="E14" s="1">
        <v>27489</v>
      </c>
      <c r="F14" s="1">
        <v>44503</v>
      </c>
      <c r="G14" s="5">
        <f t="shared" ca="1" si="0"/>
        <v>47</v>
      </c>
      <c r="H14" s="4" t="s">
        <v>144</v>
      </c>
      <c r="I14" s="4" t="s">
        <v>146</v>
      </c>
      <c r="J14" s="4">
        <v>20000</v>
      </c>
    </row>
    <row r="15" spans="1:10" hidden="1">
      <c r="A15" s="4" t="s">
        <v>91</v>
      </c>
      <c r="B15" s="4" t="s">
        <v>18</v>
      </c>
      <c r="C15" s="4" t="s">
        <v>90</v>
      </c>
      <c r="D15" s="4" t="s">
        <v>13</v>
      </c>
      <c r="E15" s="1">
        <v>33214</v>
      </c>
      <c r="F15" s="1">
        <v>44513</v>
      </c>
      <c r="G15" s="5">
        <f t="shared" ca="1" si="0"/>
        <v>32</v>
      </c>
      <c r="H15" s="4" t="s">
        <v>144</v>
      </c>
      <c r="I15" s="4" t="s">
        <v>146</v>
      </c>
      <c r="J15" s="4">
        <v>100000</v>
      </c>
    </row>
    <row r="16" spans="1:10" hidden="1">
      <c r="A16" s="4" t="s">
        <v>115</v>
      </c>
      <c r="B16" s="4" t="s">
        <v>116</v>
      </c>
      <c r="C16" s="4" t="s">
        <v>114</v>
      </c>
      <c r="D16" s="4" t="s">
        <v>13</v>
      </c>
      <c r="E16" s="1">
        <v>33771</v>
      </c>
      <c r="F16" s="1">
        <v>44523</v>
      </c>
      <c r="G16" s="5">
        <f t="shared" ca="1" si="0"/>
        <v>30</v>
      </c>
      <c r="H16" s="4" t="s">
        <v>144</v>
      </c>
      <c r="I16" s="4" t="s">
        <v>145</v>
      </c>
      <c r="J16" s="4">
        <v>70034</v>
      </c>
    </row>
    <row r="17" spans="1:10" hidden="1">
      <c r="A17" s="4" t="s">
        <v>127</v>
      </c>
      <c r="B17" s="4" t="s">
        <v>25</v>
      </c>
      <c r="C17" s="4" t="s">
        <v>90</v>
      </c>
      <c r="D17" s="4" t="s">
        <v>13</v>
      </c>
      <c r="E17" s="1">
        <v>30009</v>
      </c>
      <c r="F17" s="1">
        <v>44528</v>
      </c>
      <c r="G17" s="5">
        <f t="shared" ca="1" si="0"/>
        <v>40</v>
      </c>
      <c r="H17" s="4" t="s">
        <v>144</v>
      </c>
      <c r="I17" s="4" t="s">
        <v>146</v>
      </c>
      <c r="J17" s="4">
        <v>70034</v>
      </c>
    </row>
    <row r="18" spans="1:10" hidden="1">
      <c r="A18" s="4" t="s">
        <v>10</v>
      </c>
      <c r="B18" s="4" t="s">
        <v>11</v>
      </c>
      <c r="C18" s="4" t="s">
        <v>12</v>
      </c>
      <c r="D18" s="4" t="s">
        <v>13</v>
      </c>
      <c r="E18" s="1">
        <v>30722</v>
      </c>
      <c r="F18" s="1">
        <v>44482</v>
      </c>
      <c r="G18" s="5">
        <f t="shared" ca="1" si="0"/>
        <v>38</v>
      </c>
      <c r="H18" s="4" t="s">
        <v>133</v>
      </c>
      <c r="I18" s="4" t="s">
        <v>141</v>
      </c>
      <c r="J18" s="4">
        <v>20000</v>
      </c>
    </row>
    <row r="19" spans="1:10">
      <c r="A19" s="4" t="s">
        <v>150</v>
      </c>
      <c r="B19" s="4" t="s">
        <v>14</v>
      </c>
      <c r="C19" s="4" t="s">
        <v>15</v>
      </c>
      <c r="D19" s="4" t="s">
        <v>16</v>
      </c>
      <c r="E19" s="2">
        <v>33057</v>
      </c>
      <c r="F19" s="1">
        <v>44483</v>
      </c>
      <c r="G19" s="5">
        <f t="shared" ca="1" si="0"/>
        <v>32</v>
      </c>
      <c r="H19" s="4" t="s">
        <v>133</v>
      </c>
      <c r="I19" s="4" t="s">
        <v>139</v>
      </c>
      <c r="J19" s="4">
        <v>20000</v>
      </c>
    </row>
    <row r="20" spans="1:10" hidden="1">
      <c r="A20" s="4" t="s">
        <v>17</v>
      </c>
      <c r="B20" s="4" t="s">
        <v>18</v>
      </c>
      <c r="C20" s="4" t="s">
        <v>19</v>
      </c>
      <c r="D20" s="4" t="s">
        <v>13</v>
      </c>
      <c r="E20" s="1">
        <v>31518</v>
      </c>
      <c r="F20" s="1">
        <v>44484</v>
      </c>
      <c r="G20" s="5">
        <f t="shared" ca="1" si="0"/>
        <v>36</v>
      </c>
      <c r="H20" s="4" t="s">
        <v>133</v>
      </c>
      <c r="I20" s="4" t="s">
        <v>140</v>
      </c>
      <c r="J20" s="4">
        <v>20000</v>
      </c>
    </row>
    <row r="21" spans="1:10" hidden="1">
      <c r="A21" s="4" t="s">
        <v>24</v>
      </c>
      <c r="B21" s="4" t="s">
        <v>25</v>
      </c>
      <c r="C21" s="4" t="s">
        <v>23</v>
      </c>
      <c r="D21" s="4" t="s">
        <v>13</v>
      </c>
      <c r="E21" s="1">
        <v>33806</v>
      </c>
      <c r="F21" s="1">
        <v>44486</v>
      </c>
      <c r="G21" s="5">
        <f t="shared" ca="1" si="0"/>
        <v>30</v>
      </c>
      <c r="H21" s="4" t="s">
        <v>133</v>
      </c>
      <c r="I21" s="4" t="s">
        <v>137</v>
      </c>
      <c r="J21" s="4">
        <v>70034</v>
      </c>
    </row>
    <row r="22" spans="1:10" hidden="1">
      <c r="A22" s="4" t="s">
        <v>152</v>
      </c>
      <c r="B22" s="4" t="s">
        <v>32</v>
      </c>
      <c r="C22" s="4" t="s">
        <v>136</v>
      </c>
      <c r="D22" s="4" t="s">
        <v>16</v>
      </c>
      <c r="E22" s="1">
        <v>30198</v>
      </c>
      <c r="F22" s="1">
        <v>44489</v>
      </c>
      <c r="G22" s="5">
        <f t="shared" ca="1" si="0"/>
        <v>40</v>
      </c>
      <c r="H22" s="4" t="s">
        <v>133</v>
      </c>
      <c r="I22" s="4" t="s">
        <v>140</v>
      </c>
      <c r="J22" s="4">
        <v>21310</v>
      </c>
    </row>
    <row r="23" spans="1:10" hidden="1">
      <c r="A23" s="4" t="s">
        <v>33</v>
      </c>
      <c r="B23" s="4" t="s">
        <v>32</v>
      </c>
      <c r="C23" s="4" t="s">
        <v>34</v>
      </c>
      <c r="D23" s="4" t="s">
        <v>16</v>
      </c>
      <c r="E23" s="1">
        <v>31887</v>
      </c>
      <c r="F23" s="1">
        <v>44490</v>
      </c>
      <c r="G23" s="5">
        <f t="shared" ca="1" si="0"/>
        <v>35</v>
      </c>
      <c r="H23" s="4" t="s">
        <v>133</v>
      </c>
      <c r="I23" s="4" t="s">
        <v>137</v>
      </c>
      <c r="J23" s="4">
        <v>70034</v>
      </c>
    </row>
    <row r="24" spans="1:10" hidden="1">
      <c r="A24" s="4" t="s">
        <v>40</v>
      </c>
      <c r="B24" s="4" t="s">
        <v>39</v>
      </c>
      <c r="C24" s="4" t="s">
        <v>38</v>
      </c>
      <c r="D24" s="4" t="s">
        <v>13</v>
      </c>
      <c r="E24" s="1">
        <v>32646</v>
      </c>
      <c r="F24" s="1">
        <v>44492</v>
      </c>
      <c r="G24" s="5">
        <f t="shared" ca="1" si="0"/>
        <v>33</v>
      </c>
      <c r="H24" s="4" t="s">
        <v>133</v>
      </c>
      <c r="I24" s="4" t="s">
        <v>140</v>
      </c>
      <c r="J24" s="4">
        <v>100000</v>
      </c>
    </row>
    <row r="25" spans="1:10" hidden="1">
      <c r="A25" s="4" t="s">
        <v>151</v>
      </c>
      <c r="B25" s="4" t="s">
        <v>45</v>
      </c>
      <c r="C25" s="4" t="s">
        <v>44</v>
      </c>
      <c r="D25" s="4" t="s">
        <v>13</v>
      </c>
      <c r="E25" s="1">
        <v>27847</v>
      </c>
      <c r="F25" s="1">
        <v>44494</v>
      </c>
      <c r="G25" s="5">
        <f t="shared" ca="1" si="0"/>
        <v>46</v>
      </c>
      <c r="H25" s="4" t="s">
        <v>133</v>
      </c>
      <c r="I25" s="4" t="s">
        <v>137</v>
      </c>
      <c r="J25" s="4">
        <v>100000</v>
      </c>
    </row>
    <row r="26" spans="1:10" hidden="1">
      <c r="A26" s="4" t="s">
        <v>47</v>
      </c>
      <c r="B26" s="4" t="s">
        <v>48</v>
      </c>
      <c r="C26" s="4" t="s">
        <v>46</v>
      </c>
      <c r="D26" s="4" t="s">
        <v>13</v>
      </c>
      <c r="E26" s="1">
        <v>33082</v>
      </c>
      <c r="F26" s="1">
        <v>44495</v>
      </c>
      <c r="G26" s="5">
        <f t="shared" ca="1" si="0"/>
        <v>32</v>
      </c>
      <c r="H26" s="4" t="s">
        <v>133</v>
      </c>
      <c r="I26" s="4" t="s">
        <v>140</v>
      </c>
      <c r="J26" s="4">
        <v>31000</v>
      </c>
    </row>
    <row r="27" spans="1:10" hidden="1">
      <c r="A27" s="4" t="s">
        <v>50</v>
      </c>
      <c r="B27" s="4" t="s">
        <v>51</v>
      </c>
      <c r="C27" s="4" t="s">
        <v>49</v>
      </c>
      <c r="D27" s="4" t="s">
        <v>13</v>
      </c>
      <c r="E27" s="1">
        <v>28967</v>
      </c>
      <c r="F27" s="1">
        <v>44496</v>
      </c>
      <c r="G27" s="5">
        <f t="shared" ca="1" si="0"/>
        <v>43</v>
      </c>
      <c r="H27" s="4" t="s">
        <v>133</v>
      </c>
      <c r="I27" s="4" t="s">
        <v>137</v>
      </c>
      <c r="J27" s="4">
        <v>100000</v>
      </c>
    </row>
    <row r="28" spans="1:10" hidden="1">
      <c r="A28" s="4" t="s">
        <v>53</v>
      </c>
      <c r="B28" s="4" t="s">
        <v>14</v>
      </c>
      <c r="C28" s="4" t="s">
        <v>52</v>
      </c>
      <c r="D28" s="4" t="s">
        <v>16</v>
      </c>
      <c r="E28" s="1">
        <v>30813</v>
      </c>
      <c r="F28" s="1">
        <v>44497</v>
      </c>
      <c r="G28" s="5">
        <f t="shared" ca="1" si="0"/>
        <v>38</v>
      </c>
      <c r="H28" s="4" t="s">
        <v>133</v>
      </c>
      <c r="I28" s="4" t="s">
        <v>139</v>
      </c>
      <c r="J28" s="4">
        <v>20000</v>
      </c>
    </row>
    <row r="29" spans="1:10" hidden="1">
      <c r="A29" s="4" t="s">
        <v>58</v>
      </c>
      <c r="B29" s="4" t="s">
        <v>59</v>
      </c>
      <c r="C29" s="4" t="s">
        <v>57</v>
      </c>
      <c r="D29" s="4" t="s">
        <v>16</v>
      </c>
      <c r="E29" s="1">
        <v>30716</v>
      </c>
      <c r="F29" s="1">
        <v>44499</v>
      </c>
      <c r="G29" s="5">
        <f t="shared" ca="1" si="0"/>
        <v>38</v>
      </c>
      <c r="H29" s="4" t="s">
        <v>133</v>
      </c>
      <c r="I29" s="4" t="s">
        <v>137</v>
      </c>
      <c r="J29" s="4">
        <v>20000</v>
      </c>
    </row>
    <row r="30" spans="1:10" hidden="1">
      <c r="A30" s="4" t="s">
        <v>61</v>
      </c>
      <c r="B30" s="4" t="s">
        <v>62</v>
      </c>
      <c r="C30" s="4" t="s">
        <v>60</v>
      </c>
      <c r="D30" s="4" t="s">
        <v>13</v>
      </c>
      <c r="E30" s="1">
        <v>28208</v>
      </c>
      <c r="F30" s="1">
        <v>44500</v>
      </c>
      <c r="G30" s="5">
        <f t="shared" ca="1" si="0"/>
        <v>45</v>
      </c>
      <c r="H30" s="4" t="s">
        <v>133</v>
      </c>
      <c r="I30" s="4" t="s">
        <v>139</v>
      </c>
      <c r="J30" s="4">
        <v>31000</v>
      </c>
    </row>
    <row r="31" spans="1:10" hidden="1">
      <c r="A31" s="4" t="s">
        <v>74</v>
      </c>
      <c r="B31" s="4" t="s">
        <v>75</v>
      </c>
      <c r="C31" s="4" t="s">
        <v>73</v>
      </c>
      <c r="D31" s="4" t="s">
        <v>16</v>
      </c>
      <c r="E31" s="1">
        <v>29576</v>
      </c>
      <c r="F31" s="1">
        <v>44505</v>
      </c>
      <c r="G31" s="5">
        <f t="shared" ca="1" si="0"/>
        <v>42</v>
      </c>
      <c r="H31" s="4" t="s">
        <v>133</v>
      </c>
      <c r="I31" s="4" t="s">
        <v>138</v>
      </c>
      <c r="J31" s="4">
        <v>31000</v>
      </c>
    </row>
    <row r="32" spans="1:10" hidden="1">
      <c r="A32" s="4" t="s">
        <v>77</v>
      </c>
      <c r="B32" s="4" t="s">
        <v>65</v>
      </c>
      <c r="C32" s="4" t="s">
        <v>76</v>
      </c>
      <c r="D32" s="4" t="s">
        <v>13</v>
      </c>
      <c r="E32" s="1">
        <v>28784</v>
      </c>
      <c r="F32" s="1">
        <v>44506</v>
      </c>
      <c r="G32" s="5">
        <f t="shared" ca="1" si="0"/>
        <v>44</v>
      </c>
      <c r="H32" s="4" t="s">
        <v>133</v>
      </c>
      <c r="I32" s="4" t="s">
        <v>139</v>
      </c>
      <c r="J32" s="4">
        <v>100000</v>
      </c>
    </row>
    <row r="33" spans="1:10" hidden="1">
      <c r="A33" s="4" t="s">
        <v>81</v>
      </c>
      <c r="B33" s="4" t="s">
        <v>32</v>
      </c>
      <c r="C33" s="4" t="s">
        <v>80</v>
      </c>
      <c r="D33" s="4" t="s">
        <v>16</v>
      </c>
      <c r="E33" s="1">
        <v>30702</v>
      </c>
      <c r="F33" s="1">
        <v>44508</v>
      </c>
      <c r="G33" s="5">
        <f t="shared" ca="1" si="0"/>
        <v>38</v>
      </c>
      <c r="H33" s="4" t="s">
        <v>133</v>
      </c>
      <c r="I33" s="4" t="s">
        <v>138</v>
      </c>
      <c r="J33" s="4">
        <v>100000</v>
      </c>
    </row>
    <row r="34" spans="1:10" hidden="1">
      <c r="A34" s="4" t="s">
        <v>83</v>
      </c>
      <c r="B34" s="4" t="s">
        <v>84</v>
      </c>
      <c r="C34" s="4" t="s">
        <v>82</v>
      </c>
      <c r="D34" s="4" t="s">
        <v>16</v>
      </c>
      <c r="E34" s="1">
        <v>28388</v>
      </c>
      <c r="F34" s="1">
        <v>44509</v>
      </c>
      <c r="G34" s="5">
        <f t="shared" ref="G34:G50" ca="1" si="1">INT(YEAR(TODAY()))-INT(YEAR(E34))</f>
        <v>45</v>
      </c>
      <c r="H34" s="4" t="s">
        <v>133</v>
      </c>
      <c r="I34" s="4" t="s">
        <v>139</v>
      </c>
      <c r="J34" s="4">
        <v>20000</v>
      </c>
    </row>
    <row r="35" spans="1:10">
      <c r="A35" s="4" t="s">
        <v>85</v>
      </c>
      <c r="B35" s="4" t="s">
        <v>86</v>
      </c>
      <c r="C35" s="4" t="s">
        <v>73</v>
      </c>
      <c r="D35" s="4" t="s">
        <v>16</v>
      </c>
      <c r="E35" s="1">
        <v>33174</v>
      </c>
      <c r="F35" s="1">
        <v>44510</v>
      </c>
      <c r="G35" s="5">
        <f t="shared" ca="1" si="1"/>
        <v>32</v>
      </c>
      <c r="H35" s="4" t="s">
        <v>133</v>
      </c>
      <c r="I35" s="4" t="s">
        <v>138</v>
      </c>
      <c r="J35" s="4">
        <v>21310</v>
      </c>
    </row>
    <row r="36" spans="1:10" hidden="1">
      <c r="A36" s="4" t="s">
        <v>88</v>
      </c>
      <c r="B36" s="4" t="s">
        <v>89</v>
      </c>
      <c r="C36" s="4" t="s">
        <v>87</v>
      </c>
      <c r="D36" s="4" t="s">
        <v>13</v>
      </c>
      <c r="E36" s="1">
        <v>31904</v>
      </c>
      <c r="F36" s="1">
        <v>44511</v>
      </c>
      <c r="G36" s="5">
        <f t="shared" ca="1" si="1"/>
        <v>35</v>
      </c>
      <c r="H36" s="4" t="s">
        <v>133</v>
      </c>
      <c r="I36" s="4" t="s">
        <v>142</v>
      </c>
      <c r="J36" s="4">
        <v>31000</v>
      </c>
    </row>
    <row r="37" spans="1:10" hidden="1">
      <c r="A37" s="4" t="s">
        <v>47</v>
      </c>
      <c r="B37" s="4" t="s">
        <v>62</v>
      </c>
      <c r="C37" s="4" t="s">
        <v>20</v>
      </c>
      <c r="D37" s="4" t="s">
        <v>13</v>
      </c>
      <c r="E37" s="1">
        <v>29561</v>
      </c>
      <c r="F37" s="1">
        <v>44512</v>
      </c>
      <c r="G37" s="5">
        <f t="shared" ca="1" si="1"/>
        <v>42</v>
      </c>
      <c r="H37" s="4" t="s">
        <v>133</v>
      </c>
      <c r="I37" s="4" t="s">
        <v>138</v>
      </c>
      <c r="J37" s="4">
        <v>100000</v>
      </c>
    </row>
    <row r="38" spans="1:10" hidden="1">
      <c r="A38" s="4" t="s">
        <v>92</v>
      </c>
      <c r="B38" s="4" t="s">
        <v>93</v>
      </c>
      <c r="C38" s="4" t="s">
        <v>20</v>
      </c>
      <c r="D38" s="4" t="s">
        <v>13</v>
      </c>
      <c r="E38" s="1">
        <v>28186</v>
      </c>
      <c r="F38" s="1">
        <v>44514</v>
      </c>
      <c r="G38" s="5">
        <f t="shared" ca="1" si="1"/>
        <v>45</v>
      </c>
      <c r="H38" s="4" t="s">
        <v>133</v>
      </c>
      <c r="I38" s="4" t="s">
        <v>138</v>
      </c>
      <c r="J38" s="4">
        <v>31000</v>
      </c>
    </row>
    <row r="39" spans="1:10" hidden="1">
      <c r="A39" s="4" t="s">
        <v>94</v>
      </c>
      <c r="B39" s="4" t="s">
        <v>31</v>
      </c>
      <c r="C39" s="4" t="s">
        <v>66</v>
      </c>
      <c r="D39" s="4" t="s">
        <v>16</v>
      </c>
      <c r="E39" s="1">
        <v>29857</v>
      </c>
      <c r="F39" s="1">
        <v>44515</v>
      </c>
      <c r="G39" s="5">
        <f t="shared" ca="1" si="1"/>
        <v>41</v>
      </c>
      <c r="H39" s="4" t="s">
        <v>133</v>
      </c>
      <c r="I39" s="4" t="s">
        <v>137</v>
      </c>
      <c r="J39" s="4">
        <v>31000</v>
      </c>
    </row>
    <row r="40" spans="1:10" hidden="1">
      <c r="A40" s="4" t="s">
        <v>96</v>
      </c>
      <c r="B40" s="4" t="s">
        <v>95</v>
      </c>
      <c r="C40" s="4" t="s">
        <v>97</v>
      </c>
      <c r="D40" s="4" t="s">
        <v>16</v>
      </c>
      <c r="E40" s="1">
        <v>28780</v>
      </c>
      <c r="F40" s="1">
        <v>44516</v>
      </c>
      <c r="G40" s="5">
        <f t="shared" ca="1" si="1"/>
        <v>44</v>
      </c>
      <c r="H40" s="4" t="s">
        <v>133</v>
      </c>
      <c r="I40" s="4" t="s">
        <v>137</v>
      </c>
      <c r="J40" s="4">
        <v>20000</v>
      </c>
    </row>
    <row r="41" spans="1:10" hidden="1">
      <c r="A41" s="4" t="s">
        <v>99</v>
      </c>
      <c r="B41" s="4" t="s">
        <v>98</v>
      </c>
      <c r="C41" s="4" t="s">
        <v>100</v>
      </c>
      <c r="D41" s="4" t="s">
        <v>13</v>
      </c>
      <c r="E41" s="1">
        <v>33678</v>
      </c>
      <c r="F41" s="1">
        <v>44517</v>
      </c>
      <c r="G41" s="5">
        <f t="shared" ca="1" si="1"/>
        <v>30</v>
      </c>
      <c r="H41" s="4" t="s">
        <v>133</v>
      </c>
      <c r="I41" s="4" t="s">
        <v>138</v>
      </c>
      <c r="J41" s="4">
        <v>20000</v>
      </c>
    </row>
    <row r="42" spans="1:10" hidden="1">
      <c r="A42" s="4" t="s">
        <v>102</v>
      </c>
      <c r="B42" s="4" t="s">
        <v>101</v>
      </c>
      <c r="C42" s="4" t="s">
        <v>103</v>
      </c>
      <c r="D42" s="4" t="s">
        <v>13</v>
      </c>
      <c r="E42" s="1">
        <v>30463</v>
      </c>
      <c r="F42" s="1">
        <v>44518</v>
      </c>
      <c r="G42" s="5">
        <f t="shared" ca="1" si="1"/>
        <v>39</v>
      </c>
      <c r="H42" s="4" t="s">
        <v>133</v>
      </c>
      <c r="I42" s="4" t="s">
        <v>139</v>
      </c>
      <c r="J42" s="4">
        <v>20000</v>
      </c>
    </row>
    <row r="43" spans="1:10" hidden="1">
      <c r="A43" s="4" t="s">
        <v>107</v>
      </c>
      <c r="B43" s="4" t="s">
        <v>108</v>
      </c>
      <c r="C43" s="4" t="s">
        <v>66</v>
      </c>
      <c r="D43" s="4" t="s">
        <v>16</v>
      </c>
      <c r="E43" s="1">
        <v>29547</v>
      </c>
      <c r="F43" s="1">
        <v>44520</v>
      </c>
      <c r="G43" s="5">
        <f t="shared" ca="1" si="1"/>
        <v>42</v>
      </c>
      <c r="H43" s="4" t="s">
        <v>133</v>
      </c>
      <c r="I43" s="4" t="s">
        <v>138</v>
      </c>
      <c r="J43" s="4">
        <v>100000</v>
      </c>
    </row>
    <row r="44" spans="1:10" hidden="1">
      <c r="A44" s="4" t="s">
        <v>109</v>
      </c>
      <c r="B44" s="4" t="s">
        <v>110</v>
      </c>
      <c r="C44" s="4" t="s">
        <v>20</v>
      </c>
      <c r="D44" s="4" t="s">
        <v>13</v>
      </c>
      <c r="E44" s="1">
        <v>28277</v>
      </c>
      <c r="F44" s="1">
        <v>44521</v>
      </c>
      <c r="G44" s="5">
        <f t="shared" ca="1" si="1"/>
        <v>45</v>
      </c>
      <c r="H44" s="4" t="s">
        <v>133</v>
      </c>
      <c r="I44" s="4" t="s">
        <v>137</v>
      </c>
      <c r="J44" s="4">
        <v>80000</v>
      </c>
    </row>
    <row r="45" spans="1:10" hidden="1">
      <c r="A45" s="4" t="s">
        <v>112</v>
      </c>
      <c r="B45" s="4" t="s">
        <v>113</v>
      </c>
      <c r="C45" s="4" t="s">
        <v>111</v>
      </c>
      <c r="D45" s="4" t="s">
        <v>13</v>
      </c>
      <c r="E45" s="1">
        <v>32297</v>
      </c>
      <c r="F45" s="1">
        <v>44522</v>
      </c>
      <c r="G45" s="5">
        <f t="shared" ca="1" si="1"/>
        <v>34</v>
      </c>
      <c r="H45" s="4" t="s">
        <v>133</v>
      </c>
      <c r="I45" s="4" t="s">
        <v>137</v>
      </c>
      <c r="J45" s="4">
        <v>80000</v>
      </c>
    </row>
    <row r="46" spans="1:10" hidden="1">
      <c r="A46" s="4" t="s">
        <v>117</v>
      </c>
      <c r="B46" s="4" t="s">
        <v>118</v>
      </c>
      <c r="C46" s="4" t="s">
        <v>76</v>
      </c>
      <c r="D46" s="4" t="s">
        <v>13</v>
      </c>
      <c r="E46" s="1">
        <v>29038</v>
      </c>
      <c r="F46" s="1">
        <v>44524</v>
      </c>
      <c r="G46" s="5">
        <f t="shared" ca="1" si="1"/>
        <v>43</v>
      </c>
      <c r="H46" s="4" t="s">
        <v>133</v>
      </c>
      <c r="I46" s="4" t="s">
        <v>138</v>
      </c>
      <c r="J46" s="4">
        <v>100000</v>
      </c>
    </row>
    <row r="47" spans="1:10" hidden="1">
      <c r="A47" s="4" t="s">
        <v>120</v>
      </c>
      <c r="B47" s="4" t="s">
        <v>121</v>
      </c>
      <c r="C47" s="4" t="s">
        <v>119</v>
      </c>
      <c r="D47" s="4" t="s">
        <v>13</v>
      </c>
      <c r="E47" s="1">
        <v>27732</v>
      </c>
      <c r="F47" s="1">
        <v>44525</v>
      </c>
      <c r="G47" s="5">
        <f t="shared" ca="1" si="1"/>
        <v>47</v>
      </c>
      <c r="H47" s="4" t="s">
        <v>133</v>
      </c>
      <c r="I47" s="4" t="s">
        <v>137</v>
      </c>
      <c r="J47" s="4">
        <v>100000</v>
      </c>
    </row>
    <row r="48" spans="1:10" hidden="1">
      <c r="A48" s="4" t="s">
        <v>122</v>
      </c>
      <c r="B48" s="4" t="s">
        <v>123</v>
      </c>
      <c r="C48" s="4" t="s">
        <v>57</v>
      </c>
      <c r="D48" s="4" t="s">
        <v>16</v>
      </c>
      <c r="E48" s="1">
        <v>29808</v>
      </c>
      <c r="F48" s="1">
        <v>44526</v>
      </c>
      <c r="G48" s="5">
        <f t="shared" ca="1" si="1"/>
        <v>41</v>
      </c>
      <c r="H48" s="4" t="s">
        <v>133</v>
      </c>
      <c r="I48" s="4" t="s">
        <v>139</v>
      </c>
      <c r="J48" s="4">
        <v>100000</v>
      </c>
    </row>
    <row r="49" spans="1:10" hidden="1">
      <c r="A49" s="4" t="s">
        <v>125</v>
      </c>
      <c r="B49" s="4" t="s">
        <v>126</v>
      </c>
      <c r="C49" s="4" t="s">
        <v>124</v>
      </c>
      <c r="D49" s="4" t="s">
        <v>13</v>
      </c>
      <c r="E49" s="1">
        <v>29109</v>
      </c>
      <c r="F49" s="1">
        <v>44527</v>
      </c>
      <c r="G49" s="5">
        <f t="shared" ca="1" si="1"/>
        <v>43</v>
      </c>
      <c r="H49" s="4" t="s">
        <v>133</v>
      </c>
      <c r="I49" s="4" t="s">
        <v>137</v>
      </c>
      <c r="J49" s="4">
        <v>211000</v>
      </c>
    </row>
    <row r="50" spans="1:10" hidden="1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t="shared" ca="1" si="1"/>
        <v>37</v>
      </c>
      <c r="H50" s="4" t="s">
        <v>133</v>
      </c>
      <c r="I50" s="4" t="s">
        <v>143</v>
      </c>
      <c r="J50" s="4">
        <v>21310</v>
      </c>
    </row>
  </sheetData>
  <autoFilter ref="A1:J50">
    <filterColumn colId="3">
      <filters>
        <filter val="М"/>
      </filters>
    </filterColumn>
    <filterColumn colId="4">
      <customFilters>
        <customFilter operator="greaterThan" val="32906"/>
      </customFilters>
    </filterColumn>
  </autoFilter>
  <dataValidations count="1">
    <dataValidation type="list" allowBlank="1" showInputMessage="1" showErrorMessage="1" sqref="D1:D50">
      <formula1>"М, Ж"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0"/>
  <sheetViews>
    <sheetView zoomScale="85" zoomScaleNormal="85" workbookViewId="0">
      <selection activeCell="P12" sqref="P12"/>
    </sheetView>
  </sheetViews>
  <sheetFormatPr defaultRowHeight="15"/>
  <cols>
    <col min="1" max="1" width="17.7109375" customWidth="1"/>
    <col min="2" max="2" width="15.5703125" customWidth="1"/>
    <col min="3" max="3" width="18.7109375" customWidth="1"/>
    <col min="5" max="5" width="15.28515625" customWidth="1"/>
    <col min="6" max="6" width="13.5703125" customWidth="1"/>
    <col min="8" max="8" width="22.85546875" customWidth="1"/>
    <col min="9" max="9" width="27.28515625" customWidth="1"/>
  </cols>
  <sheetData>
    <row r="1" spans="1:22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M1" s="4" t="s">
        <v>9</v>
      </c>
      <c r="N1" s="4" t="s">
        <v>0</v>
      </c>
      <c r="O1" s="4" t="s">
        <v>1</v>
      </c>
      <c r="P1" s="4" t="s">
        <v>2</v>
      </c>
      <c r="Q1" s="1" t="s">
        <v>3</v>
      </c>
      <c r="R1" s="1" t="s">
        <v>4</v>
      </c>
      <c r="S1" s="3" t="s">
        <v>5</v>
      </c>
      <c r="T1" s="4" t="s">
        <v>6</v>
      </c>
      <c r="U1" s="4" t="s">
        <v>7</v>
      </c>
      <c r="V1" s="4" t="s">
        <v>8</v>
      </c>
    </row>
    <row r="2" spans="1:22">
      <c r="A2" s="4" t="s">
        <v>10</v>
      </c>
      <c r="B2" s="4" t="s">
        <v>11</v>
      </c>
      <c r="C2" s="4" t="s">
        <v>12</v>
      </c>
      <c r="D2" s="4" t="s">
        <v>13</v>
      </c>
      <c r="E2" s="1">
        <v>30722</v>
      </c>
      <c r="F2" s="1">
        <v>44482</v>
      </c>
      <c r="G2" s="5">
        <f ca="1">INT(YEAR(TODAY()))-INT(YEAR(E2))</f>
        <v>38</v>
      </c>
      <c r="H2" s="4" t="s">
        <v>133</v>
      </c>
      <c r="I2" s="4" t="s">
        <v>141</v>
      </c>
      <c r="J2" s="4">
        <v>20000</v>
      </c>
      <c r="M2" t="s">
        <v>155</v>
      </c>
      <c r="N2" s="4"/>
      <c r="O2" s="4" t="s">
        <v>104</v>
      </c>
      <c r="P2" s="4" t="s">
        <v>16</v>
      </c>
      <c r="T2" t="s">
        <v>133</v>
      </c>
    </row>
    <row r="3" spans="1:22">
      <c r="A3" s="4" t="s">
        <v>150</v>
      </c>
      <c r="B3" s="4" t="s">
        <v>14</v>
      </c>
      <c r="C3" s="4" t="s">
        <v>15</v>
      </c>
      <c r="D3" s="4" t="s">
        <v>16</v>
      </c>
      <c r="E3" s="2">
        <v>33057</v>
      </c>
      <c r="F3" s="1">
        <v>44483</v>
      </c>
      <c r="G3" s="5">
        <f t="shared" ref="G3:G50" ca="1" si="0">INT(YEAR(TODAY()))-INT(YEAR(E3))</f>
        <v>32</v>
      </c>
      <c r="H3" s="4" t="s">
        <v>133</v>
      </c>
      <c r="I3" s="4" t="s">
        <v>139</v>
      </c>
      <c r="J3" s="4">
        <v>20000</v>
      </c>
      <c r="M3" t="s">
        <v>156</v>
      </c>
      <c r="O3" s="4" t="s">
        <v>104</v>
      </c>
      <c r="P3" t="s">
        <v>16</v>
      </c>
      <c r="T3" t="s">
        <v>148</v>
      </c>
    </row>
    <row r="4" spans="1:22">
      <c r="A4" s="4" t="s">
        <v>17</v>
      </c>
      <c r="B4" s="4" t="s">
        <v>18</v>
      </c>
      <c r="C4" s="4" t="s">
        <v>19</v>
      </c>
      <c r="D4" s="4" t="s">
        <v>13</v>
      </c>
      <c r="E4" s="1">
        <v>31518</v>
      </c>
      <c r="F4" s="1">
        <v>44484</v>
      </c>
      <c r="G4" s="5">
        <f t="shared" ca="1" si="0"/>
        <v>36</v>
      </c>
      <c r="H4" s="4" t="s">
        <v>133</v>
      </c>
      <c r="I4" s="4" t="s">
        <v>140</v>
      </c>
      <c r="J4" s="4">
        <v>20000</v>
      </c>
    </row>
    <row r="5" spans="1:22">
      <c r="A5" s="4" t="s">
        <v>21</v>
      </c>
      <c r="B5" s="4" t="s">
        <v>22</v>
      </c>
      <c r="C5" s="4" t="s">
        <v>20</v>
      </c>
      <c r="D5" s="4" t="s">
        <v>13</v>
      </c>
      <c r="E5" s="1">
        <v>31434</v>
      </c>
      <c r="F5" s="1">
        <v>44485</v>
      </c>
      <c r="G5" s="5">
        <f t="shared" ca="1" si="0"/>
        <v>36</v>
      </c>
      <c r="H5" s="4" t="s">
        <v>144</v>
      </c>
      <c r="I5" s="4" t="s">
        <v>145</v>
      </c>
      <c r="J5" s="4">
        <v>70034</v>
      </c>
    </row>
    <row r="6" spans="1:22">
      <c r="A6" s="4" t="s">
        <v>24</v>
      </c>
      <c r="B6" s="4" t="s">
        <v>25</v>
      </c>
      <c r="C6" s="4" t="s">
        <v>23</v>
      </c>
      <c r="D6" s="4" t="s">
        <v>13</v>
      </c>
      <c r="E6" s="1">
        <v>33806</v>
      </c>
      <c r="F6" s="1">
        <v>44486</v>
      </c>
      <c r="G6" s="5">
        <f t="shared" ca="1" si="0"/>
        <v>30</v>
      </c>
      <c r="H6" s="4" t="s">
        <v>133</v>
      </c>
      <c r="I6" s="4" t="s">
        <v>137</v>
      </c>
      <c r="J6" s="4">
        <v>70034</v>
      </c>
      <c r="M6" s="4"/>
      <c r="N6" s="4"/>
      <c r="O6" s="4"/>
      <c r="P6" s="4"/>
      <c r="Q6" s="1"/>
      <c r="R6" s="1"/>
      <c r="S6" s="3"/>
      <c r="T6" s="4"/>
    </row>
    <row r="7" spans="1:22">
      <c r="A7" s="4" t="s">
        <v>150</v>
      </c>
      <c r="B7" s="4" t="s">
        <v>26</v>
      </c>
      <c r="C7" s="4" t="s">
        <v>27</v>
      </c>
      <c r="D7" s="4" t="s">
        <v>16</v>
      </c>
      <c r="E7" s="1">
        <v>31216</v>
      </c>
      <c r="F7" s="1">
        <v>44487</v>
      </c>
      <c r="G7" s="5">
        <f t="shared" ca="1" si="0"/>
        <v>37</v>
      </c>
      <c r="H7" s="4" t="s">
        <v>144</v>
      </c>
      <c r="I7" s="4" t="s">
        <v>147</v>
      </c>
      <c r="J7" s="4">
        <v>20000</v>
      </c>
      <c r="M7" s="4"/>
      <c r="O7" s="4"/>
      <c r="P7" s="4"/>
      <c r="Q7" s="1"/>
      <c r="R7" s="1"/>
      <c r="S7" s="5"/>
      <c r="T7" s="4"/>
    </row>
    <row r="8" spans="1:22">
      <c r="A8" s="4" t="s">
        <v>30</v>
      </c>
      <c r="B8" s="4" t="s">
        <v>28</v>
      </c>
      <c r="C8" s="4" t="s">
        <v>29</v>
      </c>
      <c r="D8" s="4" t="s">
        <v>16</v>
      </c>
      <c r="E8" s="1">
        <v>33856</v>
      </c>
      <c r="F8" s="1">
        <v>44488</v>
      </c>
      <c r="G8" s="5">
        <f t="shared" ca="1" si="0"/>
        <v>30</v>
      </c>
      <c r="H8" s="4" t="s">
        <v>144</v>
      </c>
      <c r="I8" s="4" t="s">
        <v>147</v>
      </c>
      <c r="J8" s="4">
        <v>70034</v>
      </c>
      <c r="M8" s="4"/>
      <c r="N8" s="4"/>
      <c r="O8" s="4"/>
      <c r="P8" s="4"/>
      <c r="Q8" s="2"/>
      <c r="R8" s="1"/>
      <c r="S8" s="5"/>
      <c r="T8" s="4"/>
    </row>
    <row r="9" spans="1:22">
      <c r="A9" s="4" t="s">
        <v>134</v>
      </c>
      <c r="B9" s="4" t="s">
        <v>135</v>
      </c>
      <c r="C9" s="4" t="s">
        <v>136</v>
      </c>
      <c r="D9" s="4" t="s">
        <v>16</v>
      </c>
      <c r="E9" s="1">
        <v>30198</v>
      </c>
      <c r="F9" s="1">
        <v>44489</v>
      </c>
      <c r="G9" s="5">
        <f t="shared" ca="1" si="0"/>
        <v>40</v>
      </c>
      <c r="H9" s="4" t="s">
        <v>133</v>
      </c>
      <c r="I9" s="4" t="s">
        <v>140</v>
      </c>
      <c r="J9" s="4">
        <v>21310</v>
      </c>
      <c r="M9" s="4"/>
      <c r="N9" s="4"/>
      <c r="O9" s="4"/>
      <c r="P9" s="4"/>
      <c r="Q9" s="1"/>
      <c r="R9" s="1"/>
      <c r="S9" s="5"/>
      <c r="T9" s="4"/>
    </row>
    <row r="10" spans="1:22">
      <c r="A10" s="4" t="s">
        <v>33</v>
      </c>
      <c r="B10" s="4" t="s">
        <v>32</v>
      </c>
      <c r="C10" s="4" t="s">
        <v>34</v>
      </c>
      <c r="D10" s="4" t="s">
        <v>16</v>
      </c>
      <c r="E10" s="1">
        <v>31887</v>
      </c>
      <c r="F10" s="1">
        <v>44490</v>
      </c>
      <c r="G10" s="5">
        <f t="shared" ca="1" si="0"/>
        <v>35</v>
      </c>
      <c r="H10" s="4" t="s">
        <v>133</v>
      </c>
      <c r="I10" s="4" t="s">
        <v>137</v>
      </c>
      <c r="J10" s="4">
        <v>70034</v>
      </c>
      <c r="M10" s="4"/>
      <c r="N10" s="4"/>
      <c r="O10" s="4"/>
      <c r="P10" s="4"/>
      <c r="Q10" s="1"/>
      <c r="R10" s="1"/>
      <c r="S10" s="5"/>
      <c r="T10" s="4"/>
    </row>
    <row r="11" spans="1:22">
      <c r="A11" s="4" t="s">
        <v>37</v>
      </c>
      <c r="B11" s="4" t="s">
        <v>36</v>
      </c>
      <c r="C11" s="4" t="s">
        <v>35</v>
      </c>
      <c r="D11" s="4" t="s">
        <v>16</v>
      </c>
      <c r="E11" s="1">
        <v>28013</v>
      </c>
      <c r="F11" s="1">
        <v>44491</v>
      </c>
      <c r="G11" s="5">
        <f t="shared" ca="1" si="0"/>
        <v>46</v>
      </c>
      <c r="H11" s="4" t="s">
        <v>148</v>
      </c>
      <c r="I11" s="4" t="s">
        <v>149</v>
      </c>
      <c r="J11" s="4">
        <v>70034</v>
      </c>
      <c r="M11" s="4"/>
      <c r="N11" s="4"/>
      <c r="O11" s="4"/>
      <c r="P11" s="4"/>
      <c r="Q11" s="1"/>
      <c r="R11" s="1"/>
      <c r="S11" s="5"/>
      <c r="T11" s="4"/>
    </row>
    <row r="12" spans="1:22">
      <c r="A12" s="4" t="s">
        <v>40</v>
      </c>
      <c r="B12" s="4" t="s">
        <v>39</v>
      </c>
      <c r="C12" s="4" t="s">
        <v>38</v>
      </c>
      <c r="D12" s="4" t="s">
        <v>13</v>
      </c>
      <c r="E12" s="1">
        <v>32646</v>
      </c>
      <c r="F12" s="1">
        <v>44492</v>
      </c>
      <c r="G12" s="5">
        <f t="shared" ca="1" si="0"/>
        <v>33</v>
      </c>
      <c r="H12" s="4" t="s">
        <v>133</v>
      </c>
      <c r="I12" s="4" t="s">
        <v>140</v>
      </c>
      <c r="J12" s="4">
        <v>100000</v>
      </c>
      <c r="M12" s="4"/>
      <c r="N12" s="4"/>
      <c r="O12" s="4"/>
      <c r="P12" s="4"/>
      <c r="Q12" s="1"/>
      <c r="R12" s="1"/>
      <c r="S12" s="5"/>
      <c r="T12" s="4"/>
    </row>
    <row r="13" spans="1:22">
      <c r="A13" s="4" t="s">
        <v>43</v>
      </c>
      <c r="B13" s="4" t="s">
        <v>42</v>
      </c>
      <c r="C13" s="4" t="s">
        <v>41</v>
      </c>
      <c r="D13" s="4" t="s">
        <v>13</v>
      </c>
      <c r="E13" s="1">
        <v>29013</v>
      </c>
      <c r="F13" s="1">
        <v>44493</v>
      </c>
      <c r="G13" s="5">
        <f t="shared" ca="1" si="0"/>
        <v>43</v>
      </c>
      <c r="H13" s="4" t="s">
        <v>148</v>
      </c>
      <c r="I13" s="4" t="s">
        <v>149</v>
      </c>
      <c r="J13" s="4">
        <v>70034</v>
      </c>
      <c r="M13" s="4"/>
      <c r="N13" s="4"/>
      <c r="O13" s="4"/>
      <c r="P13" s="4"/>
      <c r="Q13" s="1"/>
      <c r="R13" s="1"/>
      <c r="S13" s="5"/>
      <c r="T13" s="4"/>
    </row>
    <row r="14" spans="1:22">
      <c r="A14" s="4" t="s">
        <v>151</v>
      </c>
      <c r="B14" s="4" t="s">
        <v>45</v>
      </c>
      <c r="C14" s="4" t="s">
        <v>44</v>
      </c>
      <c r="D14" s="4" t="s">
        <v>13</v>
      </c>
      <c r="E14" s="1">
        <v>27847</v>
      </c>
      <c r="F14" s="1">
        <v>44494</v>
      </c>
      <c r="G14" s="5">
        <f t="shared" ca="1" si="0"/>
        <v>46</v>
      </c>
      <c r="H14" s="4" t="s">
        <v>133</v>
      </c>
      <c r="I14" s="4" t="s">
        <v>137</v>
      </c>
      <c r="J14" s="4">
        <v>100000</v>
      </c>
      <c r="M14" s="4"/>
      <c r="N14" s="4"/>
      <c r="O14" s="4"/>
      <c r="P14" s="4"/>
      <c r="Q14" s="1"/>
      <c r="R14" s="1"/>
      <c r="S14" s="5"/>
      <c r="T14" s="4"/>
    </row>
    <row r="15" spans="1:22">
      <c r="A15" s="4" t="s">
        <v>47</v>
      </c>
      <c r="B15" s="4" t="s">
        <v>48</v>
      </c>
      <c r="C15" s="4" t="s">
        <v>46</v>
      </c>
      <c r="D15" s="4" t="s">
        <v>13</v>
      </c>
      <c r="E15" s="1">
        <v>33082</v>
      </c>
      <c r="F15" s="1">
        <v>44495</v>
      </c>
      <c r="G15" s="5">
        <f t="shared" ca="1" si="0"/>
        <v>32</v>
      </c>
      <c r="H15" s="4" t="s">
        <v>133</v>
      </c>
      <c r="I15" s="4" t="s">
        <v>140</v>
      </c>
      <c r="J15" s="4">
        <v>31000</v>
      </c>
    </row>
    <row r="16" spans="1:22">
      <c r="A16" s="4" t="s">
        <v>50</v>
      </c>
      <c r="B16" s="4" t="s">
        <v>51</v>
      </c>
      <c r="C16" s="4" t="s">
        <v>49</v>
      </c>
      <c r="D16" s="4" t="s">
        <v>13</v>
      </c>
      <c r="E16" s="1">
        <v>28967</v>
      </c>
      <c r="F16" s="1">
        <v>44496</v>
      </c>
      <c r="G16" s="5">
        <f t="shared" ca="1" si="0"/>
        <v>43</v>
      </c>
      <c r="H16" s="4" t="s">
        <v>133</v>
      </c>
      <c r="I16" s="4" t="s">
        <v>137</v>
      </c>
      <c r="J16" s="4">
        <v>100000</v>
      </c>
    </row>
    <row r="17" spans="1:10">
      <c r="A17" s="4" t="s">
        <v>53</v>
      </c>
      <c r="B17" s="4" t="s">
        <v>14</v>
      </c>
      <c r="C17" s="4" t="s">
        <v>52</v>
      </c>
      <c r="D17" s="4" t="s">
        <v>16</v>
      </c>
      <c r="E17" s="1">
        <v>30813</v>
      </c>
      <c r="F17" s="1">
        <v>44497</v>
      </c>
      <c r="G17" s="5">
        <f t="shared" ca="1" si="0"/>
        <v>38</v>
      </c>
      <c r="H17" s="4" t="s">
        <v>133</v>
      </c>
      <c r="I17" s="4" t="s">
        <v>139</v>
      </c>
      <c r="J17" s="4">
        <v>20000</v>
      </c>
    </row>
    <row r="18" spans="1:10">
      <c r="A18" s="4" t="s">
        <v>55</v>
      </c>
      <c r="B18" s="4" t="s">
        <v>56</v>
      </c>
      <c r="C18" s="4" t="s">
        <v>54</v>
      </c>
      <c r="D18" s="4" t="s">
        <v>13</v>
      </c>
      <c r="E18" s="1">
        <v>31684</v>
      </c>
      <c r="F18" s="1">
        <v>44498</v>
      </c>
      <c r="G18" s="5">
        <f t="shared" ca="1" si="0"/>
        <v>36</v>
      </c>
      <c r="H18" s="4" t="s">
        <v>144</v>
      </c>
      <c r="I18" s="4" t="s">
        <v>145</v>
      </c>
      <c r="J18" s="4">
        <v>20000</v>
      </c>
    </row>
    <row r="19" spans="1:10">
      <c r="A19" s="4" t="s">
        <v>58</v>
      </c>
      <c r="B19" s="4" t="s">
        <v>59</v>
      </c>
      <c r="C19" s="4" t="s">
        <v>57</v>
      </c>
      <c r="D19" s="4" t="s">
        <v>16</v>
      </c>
      <c r="E19" s="1">
        <v>30716</v>
      </c>
      <c r="F19" s="1">
        <v>44499</v>
      </c>
      <c r="G19" s="5">
        <f t="shared" ca="1" si="0"/>
        <v>38</v>
      </c>
      <c r="H19" s="4" t="s">
        <v>133</v>
      </c>
      <c r="I19" s="4" t="s">
        <v>137</v>
      </c>
      <c r="J19" s="4">
        <v>20000</v>
      </c>
    </row>
    <row r="20" spans="1:10">
      <c r="A20" s="4" t="s">
        <v>61</v>
      </c>
      <c r="B20" s="4" t="s">
        <v>62</v>
      </c>
      <c r="C20" s="4" t="s">
        <v>60</v>
      </c>
      <c r="D20" s="4" t="s">
        <v>13</v>
      </c>
      <c r="E20" s="1">
        <v>28208</v>
      </c>
      <c r="F20" s="1">
        <v>44500</v>
      </c>
      <c r="G20" s="5">
        <f t="shared" ca="1" si="0"/>
        <v>45</v>
      </c>
      <c r="H20" s="4" t="s">
        <v>133</v>
      </c>
      <c r="I20" s="4" t="s">
        <v>139</v>
      </c>
      <c r="J20" s="4">
        <v>31000</v>
      </c>
    </row>
    <row r="21" spans="1:10">
      <c r="A21" s="4" t="s">
        <v>64</v>
      </c>
      <c r="B21" s="4" t="s">
        <v>65</v>
      </c>
      <c r="C21" s="4" t="s">
        <v>63</v>
      </c>
      <c r="D21" s="4" t="s">
        <v>13</v>
      </c>
      <c r="E21" s="1">
        <v>30065</v>
      </c>
      <c r="F21" s="1">
        <v>44501</v>
      </c>
      <c r="G21" s="5">
        <f t="shared" ca="1" si="0"/>
        <v>40</v>
      </c>
      <c r="H21" s="4" t="s">
        <v>144</v>
      </c>
      <c r="I21" s="4" t="s">
        <v>146</v>
      </c>
      <c r="J21" s="4">
        <v>31000</v>
      </c>
    </row>
    <row r="22" spans="1:10">
      <c r="A22" s="4" t="s">
        <v>67</v>
      </c>
      <c r="B22" s="4" t="s">
        <v>32</v>
      </c>
      <c r="C22" s="4" t="s">
        <v>66</v>
      </c>
      <c r="D22" s="4" t="s">
        <v>16</v>
      </c>
      <c r="E22" s="1">
        <v>29640</v>
      </c>
      <c r="F22" s="1">
        <v>44502</v>
      </c>
      <c r="G22" s="5">
        <f t="shared" ca="1" si="0"/>
        <v>41</v>
      </c>
      <c r="H22" s="4" t="s">
        <v>144</v>
      </c>
      <c r="I22" s="4" t="s">
        <v>145</v>
      </c>
      <c r="J22" s="4">
        <v>20000</v>
      </c>
    </row>
    <row r="23" spans="1:10">
      <c r="A23" s="4" t="s">
        <v>68</v>
      </c>
      <c r="B23" s="4" t="s">
        <v>69</v>
      </c>
      <c r="C23" s="4" t="s">
        <v>34</v>
      </c>
      <c r="D23" s="4" t="s">
        <v>16</v>
      </c>
      <c r="E23" s="1">
        <v>27489</v>
      </c>
      <c r="F23" s="1">
        <v>44503</v>
      </c>
      <c r="G23" s="5">
        <f t="shared" ca="1" si="0"/>
        <v>47</v>
      </c>
      <c r="H23" s="4" t="s">
        <v>144</v>
      </c>
      <c r="I23" s="4" t="s">
        <v>146</v>
      </c>
      <c r="J23" s="4">
        <v>20000</v>
      </c>
    </row>
    <row r="24" spans="1:10">
      <c r="A24" s="4" t="s">
        <v>71</v>
      </c>
      <c r="B24" s="4" t="s">
        <v>72</v>
      </c>
      <c r="C24" s="4" t="s">
        <v>70</v>
      </c>
      <c r="D24" s="4" t="s">
        <v>16</v>
      </c>
      <c r="E24" s="1">
        <v>32912</v>
      </c>
      <c r="F24" s="1">
        <v>44504</v>
      </c>
      <c r="G24" s="5">
        <f t="shared" ca="1" si="0"/>
        <v>32</v>
      </c>
      <c r="H24" s="4" t="s">
        <v>148</v>
      </c>
      <c r="I24" s="4" t="s">
        <v>149</v>
      </c>
      <c r="J24" s="4">
        <v>20000</v>
      </c>
    </row>
    <row r="25" spans="1:10">
      <c r="A25" s="4" t="s">
        <v>74</v>
      </c>
      <c r="B25" s="4" t="s">
        <v>75</v>
      </c>
      <c r="C25" s="4" t="s">
        <v>73</v>
      </c>
      <c r="D25" s="4" t="s">
        <v>16</v>
      </c>
      <c r="E25" s="1">
        <v>29576</v>
      </c>
      <c r="F25" s="1">
        <v>44505</v>
      </c>
      <c r="G25" s="5">
        <f t="shared" ca="1" si="0"/>
        <v>42</v>
      </c>
      <c r="H25" s="4" t="s">
        <v>133</v>
      </c>
      <c r="I25" s="4" t="s">
        <v>138</v>
      </c>
      <c r="J25" s="4">
        <v>31000</v>
      </c>
    </row>
    <row r="26" spans="1:10">
      <c r="A26" s="4" t="s">
        <v>77</v>
      </c>
      <c r="B26" s="4" t="s">
        <v>65</v>
      </c>
      <c r="C26" s="4" t="s">
        <v>76</v>
      </c>
      <c r="D26" s="4" t="s">
        <v>13</v>
      </c>
      <c r="E26" s="1">
        <v>28784</v>
      </c>
      <c r="F26" s="1">
        <v>44506</v>
      </c>
      <c r="G26" s="5">
        <f t="shared" ca="1" si="0"/>
        <v>44</v>
      </c>
      <c r="H26" s="4" t="s">
        <v>133</v>
      </c>
      <c r="I26" s="4" t="s">
        <v>139</v>
      </c>
      <c r="J26" s="4">
        <v>100000</v>
      </c>
    </row>
    <row r="27" spans="1:10">
      <c r="A27" s="4" t="s">
        <v>78</v>
      </c>
      <c r="B27" s="4" t="s">
        <v>79</v>
      </c>
      <c r="C27" s="4" t="s">
        <v>41</v>
      </c>
      <c r="D27" s="4" t="s">
        <v>13</v>
      </c>
      <c r="E27" s="1">
        <v>28136</v>
      </c>
      <c r="F27" s="1">
        <v>44507</v>
      </c>
      <c r="G27" s="5">
        <f t="shared" ca="1" si="0"/>
        <v>45</v>
      </c>
      <c r="H27" s="4" t="s">
        <v>148</v>
      </c>
      <c r="I27" s="4" t="s">
        <v>149</v>
      </c>
      <c r="J27" s="4">
        <v>40000</v>
      </c>
    </row>
    <row r="28" spans="1:10">
      <c r="A28" s="4" t="s">
        <v>81</v>
      </c>
      <c r="B28" s="4" t="s">
        <v>32</v>
      </c>
      <c r="C28" s="4" t="s">
        <v>80</v>
      </c>
      <c r="D28" s="4" t="s">
        <v>16</v>
      </c>
      <c r="E28" s="1">
        <v>30702</v>
      </c>
      <c r="F28" s="1">
        <v>44508</v>
      </c>
      <c r="G28" s="5">
        <f t="shared" ca="1" si="0"/>
        <v>38</v>
      </c>
      <c r="H28" s="4" t="s">
        <v>133</v>
      </c>
      <c r="I28" s="4" t="s">
        <v>138</v>
      </c>
      <c r="J28" s="4">
        <v>100000</v>
      </c>
    </row>
    <row r="29" spans="1:10">
      <c r="A29" s="4" t="s">
        <v>83</v>
      </c>
      <c r="B29" s="4" t="s">
        <v>84</v>
      </c>
      <c r="C29" s="4" t="s">
        <v>82</v>
      </c>
      <c r="D29" s="4" t="s">
        <v>16</v>
      </c>
      <c r="E29" s="1">
        <v>28388</v>
      </c>
      <c r="F29" s="1">
        <v>44509</v>
      </c>
      <c r="G29" s="5">
        <f t="shared" ca="1" si="0"/>
        <v>45</v>
      </c>
      <c r="H29" s="4" t="s">
        <v>133</v>
      </c>
      <c r="I29" s="4" t="s">
        <v>139</v>
      </c>
      <c r="J29" s="4">
        <v>20000</v>
      </c>
    </row>
    <row r="30" spans="1:10">
      <c r="A30" s="4" t="s">
        <v>85</v>
      </c>
      <c r="B30" s="4" t="s">
        <v>86</v>
      </c>
      <c r="C30" s="4" t="s">
        <v>73</v>
      </c>
      <c r="D30" s="4" t="s">
        <v>16</v>
      </c>
      <c r="E30" s="1">
        <v>33174</v>
      </c>
      <c r="F30" s="1">
        <v>44510</v>
      </c>
      <c r="G30" s="5">
        <f t="shared" ca="1" si="0"/>
        <v>32</v>
      </c>
      <c r="H30" s="4" t="s">
        <v>133</v>
      </c>
      <c r="I30" s="4" t="s">
        <v>138</v>
      </c>
      <c r="J30" s="4">
        <v>21310</v>
      </c>
    </row>
    <row r="31" spans="1:10">
      <c r="A31" s="4" t="s">
        <v>88</v>
      </c>
      <c r="B31" s="4" t="s">
        <v>89</v>
      </c>
      <c r="C31" s="4" t="s">
        <v>87</v>
      </c>
      <c r="D31" s="4" t="s">
        <v>13</v>
      </c>
      <c r="E31" s="1">
        <v>31904</v>
      </c>
      <c r="F31" s="1">
        <v>44511</v>
      </c>
      <c r="G31" s="5">
        <f t="shared" ca="1" si="0"/>
        <v>35</v>
      </c>
      <c r="H31" s="4" t="s">
        <v>133</v>
      </c>
      <c r="I31" s="4" t="s">
        <v>142</v>
      </c>
      <c r="J31" s="4">
        <v>31000</v>
      </c>
    </row>
    <row r="32" spans="1:10">
      <c r="A32" s="4" t="s">
        <v>47</v>
      </c>
      <c r="B32" s="4" t="s">
        <v>62</v>
      </c>
      <c r="C32" s="4" t="s">
        <v>20</v>
      </c>
      <c r="D32" s="4" t="s">
        <v>13</v>
      </c>
      <c r="E32" s="1">
        <v>29561</v>
      </c>
      <c r="F32" s="1">
        <v>44512</v>
      </c>
      <c r="G32" s="5">
        <f t="shared" ca="1" si="0"/>
        <v>42</v>
      </c>
      <c r="H32" s="4" t="s">
        <v>133</v>
      </c>
      <c r="I32" s="4" t="s">
        <v>138</v>
      </c>
      <c r="J32" s="4">
        <v>100000</v>
      </c>
    </row>
    <row r="33" spans="1:10">
      <c r="A33" s="4" t="s">
        <v>91</v>
      </c>
      <c r="B33" s="4" t="s">
        <v>18</v>
      </c>
      <c r="C33" s="4" t="s">
        <v>90</v>
      </c>
      <c r="D33" s="4" t="s">
        <v>13</v>
      </c>
      <c r="E33" s="1">
        <v>33214</v>
      </c>
      <c r="F33" s="1">
        <v>44513</v>
      </c>
      <c r="G33" s="5">
        <f t="shared" ca="1" si="0"/>
        <v>32</v>
      </c>
      <c r="H33" s="4" t="s">
        <v>144</v>
      </c>
      <c r="I33" s="4" t="s">
        <v>146</v>
      </c>
      <c r="J33" s="4">
        <v>100000</v>
      </c>
    </row>
    <row r="34" spans="1:10">
      <c r="A34" s="4" t="s">
        <v>92</v>
      </c>
      <c r="B34" s="4" t="s">
        <v>93</v>
      </c>
      <c r="C34" s="4" t="s">
        <v>20</v>
      </c>
      <c r="D34" s="4" t="s">
        <v>13</v>
      </c>
      <c r="E34" s="1">
        <v>28186</v>
      </c>
      <c r="F34" s="1">
        <v>44514</v>
      </c>
      <c r="G34" s="5">
        <f t="shared" ca="1" si="0"/>
        <v>45</v>
      </c>
      <c r="H34" s="4" t="s">
        <v>133</v>
      </c>
      <c r="I34" s="4" t="s">
        <v>138</v>
      </c>
      <c r="J34" s="4">
        <v>31000</v>
      </c>
    </row>
    <row r="35" spans="1:10">
      <c r="A35" s="4" t="s">
        <v>94</v>
      </c>
      <c r="B35" s="4" t="s">
        <v>31</v>
      </c>
      <c r="C35" s="4" t="s">
        <v>66</v>
      </c>
      <c r="D35" s="4" t="s">
        <v>16</v>
      </c>
      <c r="E35" s="1">
        <v>29857</v>
      </c>
      <c r="F35" s="1">
        <v>44515</v>
      </c>
      <c r="G35" s="5">
        <f t="shared" ca="1" si="0"/>
        <v>41</v>
      </c>
      <c r="H35" s="4" t="s">
        <v>133</v>
      </c>
      <c r="I35" s="4" t="s">
        <v>137</v>
      </c>
      <c r="J35" s="4">
        <v>31000</v>
      </c>
    </row>
    <row r="36" spans="1:10">
      <c r="A36" s="4" t="s">
        <v>96</v>
      </c>
      <c r="B36" s="4" t="s">
        <v>95</v>
      </c>
      <c r="C36" s="4" t="s">
        <v>97</v>
      </c>
      <c r="D36" s="4" t="s">
        <v>16</v>
      </c>
      <c r="E36" s="1">
        <v>28780</v>
      </c>
      <c r="F36" s="1">
        <v>44516</v>
      </c>
      <c r="G36" s="5">
        <f t="shared" ca="1" si="0"/>
        <v>44</v>
      </c>
      <c r="H36" s="4" t="s">
        <v>133</v>
      </c>
      <c r="I36" s="4" t="s">
        <v>137</v>
      </c>
      <c r="J36" s="4">
        <v>20000</v>
      </c>
    </row>
    <row r="37" spans="1:10">
      <c r="A37" s="4" t="s">
        <v>99</v>
      </c>
      <c r="B37" s="4" t="s">
        <v>98</v>
      </c>
      <c r="C37" s="4" t="s">
        <v>100</v>
      </c>
      <c r="D37" s="4" t="s">
        <v>13</v>
      </c>
      <c r="E37" s="1">
        <v>33678</v>
      </c>
      <c r="F37" s="1">
        <v>44517</v>
      </c>
      <c r="G37" s="5">
        <f t="shared" ca="1" si="0"/>
        <v>30</v>
      </c>
      <c r="H37" s="4" t="s">
        <v>133</v>
      </c>
      <c r="I37" s="4" t="s">
        <v>138</v>
      </c>
      <c r="J37" s="4">
        <v>20000</v>
      </c>
    </row>
    <row r="38" spans="1:10">
      <c r="A38" s="4" t="s">
        <v>102</v>
      </c>
      <c r="B38" s="4" t="s">
        <v>101</v>
      </c>
      <c r="C38" s="4" t="s">
        <v>103</v>
      </c>
      <c r="D38" s="4" t="s">
        <v>13</v>
      </c>
      <c r="E38" s="1">
        <v>30463</v>
      </c>
      <c r="F38" s="1">
        <v>44518</v>
      </c>
      <c r="G38" s="5">
        <f t="shared" ca="1" si="0"/>
        <v>39</v>
      </c>
      <c r="H38" s="4" t="s">
        <v>133</v>
      </c>
      <c r="I38" s="4" t="s">
        <v>139</v>
      </c>
      <c r="J38" s="4">
        <v>20000</v>
      </c>
    </row>
    <row r="39" spans="1:10">
      <c r="A39" s="4" t="s">
        <v>105</v>
      </c>
      <c r="B39" s="4" t="s">
        <v>106</v>
      </c>
      <c r="C39" s="4" t="s">
        <v>104</v>
      </c>
      <c r="D39" s="4" t="s">
        <v>16</v>
      </c>
      <c r="E39" s="1">
        <v>32382</v>
      </c>
      <c r="F39" s="1">
        <v>44519</v>
      </c>
      <c r="G39" s="5">
        <f t="shared" ca="1" si="0"/>
        <v>34</v>
      </c>
      <c r="H39" s="4" t="s">
        <v>148</v>
      </c>
      <c r="I39" s="4" t="s">
        <v>149</v>
      </c>
      <c r="J39" s="4">
        <v>70034</v>
      </c>
    </row>
    <row r="40" spans="1:10">
      <c r="A40" s="4" t="s">
        <v>107</v>
      </c>
      <c r="B40" s="4" t="s">
        <v>108</v>
      </c>
      <c r="C40" s="4" t="s">
        <v>66</v>
      </c>
      <c r="D40" s="4" t="s">
        <v>16</v>
      </c>
      <c r="E40" s="1">
        <v>29547</v>
      </c>
      <c r="F40" s="1">
        <v>44520</v>
      </c>
      <c r="G40" s="5">
        <f t="shared" ca="1" si="0"/>
        <v>42</v>
      </c>
      <c r="H40" s="4" t="s">
        <v>133</v>
      </c>
      <c r="I40" s="4" t="s">
        <v>138</v>
      </c>
      <c r="J40" s="4">
        <v>100000</v>
      </c>
    </row>
    <row r="41" spans="1:10">
      <c r="A41" s="4" t="s">
        <v>109</v>
      </c>
      <c r="B41" s="4" t="s">
        <v>110</v>
      </c>
      <c r="C41" s="4" t="s">
        <v>20</v>
      </c>
      <c r="D41" s="4" t="s">
        <v>13</v>
      </c>
      <c r="E41" s="1">
        <v>28277</v>
      </c>
      <c r="F41" s="1">
        <v>44521</v>
      </c>
      <c r="G41" s="5">
        <f t="shared" ca="1" si="0"/>
        <v>45</v>
      </c>
      <c r="H41" s="4" t="s">
        <v>133</v>
      </c>
      <c r="I41" s="4" t="s">
        <v>137</v>
      </c>
      <c r="J41" s="4">
        <v>80000</v>
      </c>
    </row>
    <row r="42" spans="1:10">
      <c r="A42" s="4" t="s">
        <v>112</v>
      </c>
      <c r="B42" s="4" t="s">
        <v>113</v>
      </c>
      <c r="C42" s="4" t="s">
        <v>111</v>
      </c>
      <c r="D42" s="4" t="s">
        <v>13</v>
      </c>
      <c r="E42" s="1">
        <v>32297</v>
      </c>
      <c r="F42" s="1">
        <v>44522</v>
      </c>
      <c r="G42" s="5">
        <f t="shared" ca="1" si="0"/>
        <v>34</v>
      </c>
      <c r="H42" s="4" t="s">
        <v>133</v>
      </c>
      <c r="I42" s="4" t="s">
        <v>137</v>
      </c>
      <c r="J42" s="4">
        <v>80000</v>
      </c>
    </row>
    <row r="43" spans="1:10">
      <c r="A43" s="4" t="s">
        <v>115</v>
      </c>
      <c r="B43" s="4" t="s">
        <v>116</v>
      </c>
      <c r="C43" s="4" t="s">
        <v>114</v>
      </c>
      <c r="D43" s="4" t="s">
        <v>13</v>
      </c>
      <c r="E43" s="1">
        <v>33771</v>
      </c>
      <c r="F43" s="1">
        <v>44523</v>
      </c>
      <c r="G43" s="5">
        <f t="shared" ca="1" si="0"/>
        <v>30</v>
      </c>
      <c r="H43" s="4" t="s">
        <v>144</v>
      </c>
      <c r="I43" s="4" t="s">
        <v>145</v>
      </c>
      <c r="J43" s="4">
        <v>70034</v>
      </c>
    </row>
    <row r="44" spans="1:10">
      <c r="A44" s="4" t="s">
        <v>117</v>
      </c>
      <c r="B44" s="4" t="s">
        <v>118</v>
      </c>
      <c r="C44" s="4" t="s">
        <v>76</v>
      </c>
      <c r="D44" s="4" t="s">
        <v>13</v>
      </c>
      <c r="E44" s="1">
        <v>29038</v>
      </c>
      <c r="F44" s="1">
        <v>44524</v>
      </c>
      <c r="G44" s="5">
        <f t="shared" ca="1" si="0"/>
        <v>43</v>
      </c>
      <c r="H44" s="4" t="s">
        <v>133</v>
      </c>
      <c r="I44" s="4" t="s">
        <v>138</v>
      </c>
      <c r="J44" s="4">
        <v>100000</v>
      </c>
    </row>
    <row r="45" spans="1:10">
      <c r="A45" s="4" t="s">
        <v>120</v>
      </c>
      <c r="B45" s="4" t="s">
        <v>121</v>
      </c>
      <c r="C45" s="4" t="s">
        <v>119</v>
      </c>
      <c r="D45" s="4" t="s">
        <v>13</v>
      </c>
      <c r="E45" s="1">
        <v>27732</v>
      </c>
      <c r="F45" s="1">
        <v>44525</v>
      </c>
      <c r="G45" s="5">
        <f t="shared" ca="1" si="0"/>
        <v>47</v>
      </c>
      <c r="H45" s="4" t="s">
        <v>133</v>
      </c>
      <c r="I45" s="4" t="s">
        <v>137</v>
      </c>
      <c r="J45" s="4">
        <v>100000</v>
      </c>
    </row>
    <row r="46" spans="1:10">
      <c r="A46" s="4" t="s">
        <v>122</v>
      </c>
      <c r="B46" s="4" t="s">
        <v>123</v>
      </c>
      <c r="C46" s="4" t="s">
        <v>57</v>
      </c>
      <c r="D46" s="4" t="s">
        <v>16</v>
      </c>
      <c r="E46" s="1">
        <v>29808</v>
      </c>
      <c r="F46" s="1">
        <v>44526</v>
      </c>
      <c r="G46" s="5">
        <f t="shared" ca="1" si="0"/>
        <v>41</v>
      </c>
      <c r="H46" s="4" t="s">
        <v>133</v>
      </c>
      <c r="I46" s="4" t="s">
        <v>139</v>
      </c>
      <c r="J46" s="4">
        <v>100000</v>
      </c>
    </row>
    <row r="47" spans="1:10">
      <c r="A47" s="4" t="s">
        <v>125</v>
      </c>
      <c r="B47" s="4" t="s">
        <v>126</v>
      </c>
      <c r="C47" s="4" t="s">
        <v>124</v>
      </c>
      <c r="D47" s="4" t="s">
        <v>13</v>
      </c>
      <c r="E47" s="1">
        <v>29109</v>
      </c>
      <c r="F47" s="1">
        <v>44527</v>
      </c>
      <c r="G47" s="5">
        <f t="shared" ca="1" si="0"/>
        <v>43</v>
      </c>
      <c r="H47" s="4" t="s">
        <v>133</v>
      </c>
      <c r="I47" s="4" t="s">
        <v>137</v>
      </c>
      <c r="J47" s="4">
        <v>211000</v>
      </c>
    </row>
    <row r="48" spans="1:10">
      <c r="A48" s="4" t="s">
        <v>127</v>
      </c>
      <c r="B48" s="4" t="s">
        <v>25</v>
      </c>
      <c r="C48" s="4" t="s">
        <v>90</v>
      </c>
      <c r="D48" s="4" t="s">
        <v>13</v>
      </c>
      <c r="E48" s="1">
        <v>30009</v>
      </c>
      <c r="F48" s="1">
        <v>44528</v>
      </c>
      <c r="G48" s="5">
        <f t="shared" ca="1" si="0"/>
        <v>40</v>
      </c>
      <c r="H48" s="4" t="s">
        <v>144</v>
      </c>
      <c r="I48" s="4" t="s">
        <v>146</v>
      </c>
      <c r="J48" s="4">
        <v>70034</v>
      </c>
    </row>
    <row r="49" spans="1:10">
      <c r="A49" s="4" t="s">
        <v>129</v>
      </c>
      <c r="B49" s="4" t="s">
        <v>121</v>
      </c>
      <c r="C49" s="4" t="s">
        <v>128</v>
      </c>
      <c r="D49" s="4" t="s">
        <v>13</v>
      </c>
      <c r="E49" s="1">
        <v>32293</v>
      </c>
      <c r="F49" s="1">
        <v>44529</v>
      </c>
      <c r="G49" s="5">
        <f t="shared" ca="1" si="0"/>
        <v>34</v>
      </c>
      <c r="H49" s="4" t="s">
        <v>148</v>
      </c>
      <c r="I49" s="4" t="s">
        <v>149</v>
      </c>
      <c r="J49" s="4">
        <v>40000</v>
      </c>
    </row>
    <row r="50" spans="1:10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t="shared" ca="1" si="0"/>
        <v>37</v>
      </c>
      <c r="H50" s="4" t="s">
        <v>133</v>
      </c>
      <c r="I50" s="4" t="s">
        <v>143</v>
      </c>
      <c r="J50" s="4">
        <v>21310</v>
      </c>
    </row>
  </sheetData>
  <dataValidations count="1">
    <dataValidation type="list" allowBlank="1" showInputMessage="1" showErrorMessage="1" sqref="D1:D50 O6 P1">
      <formula1>"М, Ж"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8"/>
  <sheetViews>
    <sheetView workbookViewId="0">
      <selection activeCell="N18" sqref="N18"/>
    </sheetView>
  </sheetViews>
  <sheetFormatPr defaultRowHeight="15" outlineLevelRow="3"/>
  <cols>
    <col min="1" max="1" width="17.42578125" customWidth="1"/>
    <col min="2" max="2" width="15.28515625" customWidth="1"/>
    <col min="3" max="3" width="18.140625" customWidth="1"/>
    <col min="5" max="5" width="15.140625" customWidth="1"/>
    <col min="6" max="6" width="12.42578125" customWidth="1"/>
    <col min="8" max="8" width="15.85546875" customWidth="1"/>
    <col min="9" max="9" width="37.5703125" customWidth="1"/>
  </cols>
  <sheetData>
    <row r="1" spans="1:10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 outlineLevel="3">
      <c r="A2" s="4" t="s">
        <v>10</v>
      </c>
      <c r="B2" s="4" t="s">
        <v>11</v>
      </c>
      <c r="C2" s="4" t="s">
        <v>12</v>
      </c>
      <c r="D2" s="4" t="s">
        <v>13</v>
      </c>
      <c r="E2" s="1">
        <v>30722</v>
      </c>
      <c r="F2" s="1">
        <v>44482</v>
      </c>
      <c r="G2" s="5">
        <f ca="1">INT(YEAR(TODAY()))-INT(YEAR(E2))</f>
        <v>38</v>
      </c>
      <c r="H2" s="4" t="s">
        <v>133</v>
      </c>
      <c r="I2" s="4" t="s">
        <v>141</v>
      </c>
      <c r="J2" s="4">
        <v>20000</v>
      </c>
    </row>
    <row r="3" spans="1:10" outlineLevel="3">
      <c r="A3" s="4" t="s">
        <v>150</v>
      </c>
      <c r="B3" s="4" t="s">
        <v>14</v>
      </c>
      <c r="C3" s="4" t="s">
        <v>15</v>
      </c>
      <c r="D3" s="4" t="s">
        <v>16</v>
      </c>
      <c r="E3" s="2">
        <v>33057</v>
      </c>
      <c r="F3" s="1">
        <v>44483</v>
      </c>
      <c r="G3" s="5">
        <f ca="1">INT(YEAR(TODAY()))-INT(YEAR(E3))</f>
        <v>32</v>
      </c>
      <c r="H3" s="4" t="s">
        <v>133</v>
      </c>
      <c r="I3" s="4" t="s">
        <v>139</v>
      </c>
      <c r="J3" s="4">
        <v>20000</v>
      </c>
    </row>
    <row r="4" spans="1:10" outlineLevel="3">
      <c r="A4" s="4" t="s">
        <v>17</v>
      </c>
      <c r="B4" s="4" t="s">
        <v>18</v>
      </c>
      <c r="C4" s="4" t="s">
        <v>19</v>
      </c>
      <c r="D4" s="4" t="s">
        <v>13</v>
      </c>
      <c r="E4" s="1">
        <v>31518</v>
      </c>
      <c r="F4" s="1">
        <v>44484</v>
      </c>
      <c r="G4" s="5">
        <f ca="1">INT(YEAR(TODAY()))-INT(YEAR(E4))</f>
        <v>36</v>
      </c>
      <c r="H4" s="4" t="s">
        <v>133</v>
      </c>
      <c r="I4" s="4" t="s">
        <v>140</v>
      </c>
      <c r="J4" s="4">
        <v>20000</v>
      </c>
    </row>
    <row r="5" spans="1:10" outlineLevel="3">
      <c r="A5" s="4" t="s">
        <v>24</v>
      </c>
      <c r="B5" s="4" t="s">
        <v>25</v>
      </c>
      <c r="C5" s="4" t="s">
        <v>23</v>
      </c>
      <c r="D5" s="4" t="s">
        <v>13</v>
      </c>
      <c r="E5" s="1">
        <v>33806</v>
      </c>
      <c r="F5" s="1">
        <v>44486</v>
      </c>
      <c r="G5" s="5">
        <f ca="1">INT(YEAR(TODAY()))-INT(YEAR(E5))</f>
        <v>30</v>
      </c>
      <c r="H5" s="4" t="s">
        <v>133</v>
      </c>
      <c r="I5" s="4" t="s">
        <v>137</v>
      </c>
      <c r="J5" s="4">
        <v>70034</v>
      </c>
    </row>
    <row r="6" spans="1:10" outlineLevel="3">
      <c r="A6" s="4" t="s">
        <v>134</v>
      </c>
      <c r="B6" s="4" t="s">
        <v>135</v>
      </c>
      <c r="C6" s="4" t="s">
        <v>136</v>
      </c>
      <c r="D6" s="4" t="s">
        <v>16</v>
      </c>
      <c r="E6" s="1">
        <v>30198</v>
      </c>
      <c r="F6" s="1">
        <v>44489</v>
      </c>
      <c r="G6" s="5">
        <f ca="1">INT(YEAR(TODAY()))-INT(YEAR(E6))</f>
        <v>40</v>
      </c>
      <c r="H6" s="4" t="s">
        <v>133</v>
      </c>
      <c r="I6" s="4" t="s">
        <v>140</v>
      </c>
      <c r="J6" s="4">
        <v>21310</v>
      </c>
    </row>
    <row r="7" spans="1:10" outlineLevel="3">
      <c r="A7" s="4" t="s">
        <v>33</v>
      </c>
      <c r="B7" s="4" t="s">
        <v>32</v>
      </c>
      <c r="C7" s="4" t="s">
        <v>34</v>
      </c>
      <c r="D7" s="4" t="s">
        <v>16</v>
      </c>
      <c r="E7" s="1">
        <v>31887</v>
      </c>
      <c r="F7" s="1">
        <v>44490</v>
      </c>
      <c r="G7" s="5">
        <f ca="1">INT(YEAR(TODAY()))-INT(YEAR(E7))</f>
        <v>35</v>
      </c>
      <c r="H7" s="4" t="s">
        <v>133</v>
      </c>
      <c r="I7" s="4" t="s">
        <v>137</v>
      </c>
      <c r="J7" s="4">
        <v>70034</v>
      </c>
    </row>
    <row r="8" spans="1:10" outlineLevel="3">
      <c r="A8" s="4" t="s">
        <v>40</v>
      </c>
      <c r="B8" s="4" t="s">
        <v>39</v>
      </c>
      <c r="C8" s="4" t="s">
        <v>38</v>
      </c>
      <c r="D8" s="4" t="s">
        <v>13</v>
      </c>
      <c r="E8" s="1">
        <v>32646</v>
      </c>
      <c r="F8" s="1">
        <v>44492</v>
      </c>
      <c r="G8" s="5">
        <f ca="1">INT(YEAR(TODAY()))-INT(YEAR(E8))</f>
        <v>33</v>
      </c>
      <c r="H8" s="4" t="s">
        <v>133</v>
      </c>
      <c r="I8" s="4" t="s">
        <v>140</v>
      </c>
      <c r="J8" s="4">
        <v>100000</v>
      </c>
    </row>
    <row r="9" spans="1:10" outlineLevel="3">
      <c r="A9" s="4" t="s">
        <v>151</v>
      </c>
      <c r="B9" s="4" t="s">
        <v>45</v>
      </c>
      <c r="C9" s="4" t="s">
        <v>44</v>
      </c>
      <c r="D9" s="4" t="s">
        <v>13</v>
      </c>
      <c r="E9" s="1">
        <v>27847</v>
      </c>
      <c r="F9" s="1">
        <v>44494</v>
      </c>
      <c r="G9" s="5">
        <f ca="1">INT(YEAR(TODAY()))-INT(YEAR(E9))</f>
        <v>46</v>
      </c>
      <c r="H9" s="4" t="s">
        <v>133</v>
      </c>
      <c r="I9" s="4" t="s">
        <v>137</v>
      </c>
      <c r="J9" s="4">
        <v>100000</v>
      </c>
    </row>
    <row r="10" spans="1:10" outlineLevel="3">
      <c r="A10" s="4" t="s">
        <v>47</v>
      </c>
      <c r="B10" s="4" t="s">
        <v>48</v>
      </c>
      <c r="C10" s="4" t="s">
        <v>46</v>
      </c>
      <c r="D10" s="4" t="s">
        <v>13</v>
      </c>
      <c r="E10" s="1">
        <v>33082</v>
      </c>
      <c r="F10" s="1">
        <v>44495</v>
      </c>
      <c r="G10" s="5">
        <f ca="1">INT(YEAR(TODAY()))-INT(YEAR(E10))</f>
        <v>32</v>
      </c>
      <c r="H10" s="4" t="s">
        <v>133</v>
      </c>
      <c r="I10" s="4" t="s">
        <v>140</v>
      </c>
      <c r="J10" s="4">
        <v>31000</v>
      </c>
    </row>
    <row r="11" spans="1:10" outlineLevel="3">
      <c r="A11" s="4" t="s">
        <v>50</v>
      </c>
      <c r="B11" s="4" t="s">
        <v>51</v>
      </c>
      <c r="C11" s="4" t="s">
        <v>49</v>
      </c>
      <c r="D11" s="4" t="s">
        <v>13</v>
      </c>
      <c r="E11" s="1">
        <v>28967</v>
      </c>
      <c r="F11" s="1">
        <v>44496</v>
      </c>
      <c r="G11" s="5">
        <f ca="1">INT(YEAR(TODAY()))-INT(YEAR(E11))</f>
        <v>43</v>
      </c>
      <c r="H11" s="4" t="s">
        <v>133</v>
      </c>
      <c r="I11" s="4" t="s">
        <v>137</v>
      </c>
      <c r="J11" s="4">
        <v>100000</v>
      </c>
    </row>
    <row r="12" spans="1:10" outlineLevel="3">
      <c r="A12" s="4" t="s">
        <v>53</v>
      </c>
      <c r="B12" s="4" t="s">
        <v>14</v>
      </c>
      <c r="C12" s="4" t="s">
        <v>52</v>
      </c>
      <c r="D12" s="4" t="s">
        <v>16</v>
      </c>
      <c r="E12" s="1">
        <v>30813</v>
      </c>
      <c r="F12" s="1">
        <v>44497</v>
      </c>
      <c r="G12" s="5">
        <f ca="1">INT(YEAR(TODAY()))-INT(YEAR(E12))</f>
        <v>38</v>
      </c>
      <c r="H12" s="4" t="s">
        <v>133</v>
      </c>
      <c r="I12" s="4" t="s">
        <v>139</v>
      </c>
      <c r="J12" s="4">
        <v>20000</v>
      </c>
    </row>
    <row r="13" spans="1:10" outlineLevel="3">
      <c r="A13" s="4" t="s">
        <v>58</v>
      </c>
      <c r="B13" s="4" t="s">
        <v>59</v>
      </c>
      <c r="C13" s="4" t="s">
        <v>57</v>
      </c>
      <c r="D13" s="4" t="s">
        <v>16</v>
      </c>
      <c r="E13" s="1">
        <v>30716</v>
      </c>
      <c r="F13" s="1">
        <v>44499</v>
      </c>
      <c r="G13" s="5">
        <f ca="1">INT(YEAR(TODAY()))-INT(YEAR(E13))</f>
        <v>38</v>
      </c>
      <c r="H13" s="4" t="s">
        <v>133</v>
      </c>
      <c r="I13" s="4" t="s">
        <v>137</v>
      </c>
      <c r="J13" s="4">
        <v>20000</v>
      </c>
    </row>
    <row r="14" spans="1:10" outlineLevel="3">
      <c r="A14" s="4" t="s">
        <v>61</v>
      </c>
      <c r="B14" s="4" t="s">
        <v>62</v>
      </c>
      <c r="C14" s="4" t="s">
        <v>60</v>
      </c>
      <c r="D14" s="4" t="s">
        <v>13</v>
      </c>
      <c r="E14" s="1">
        <v>28208</v>
      </c>
      <c r="F14" s="1">
        <v>44500</v>
      </c>
      <c r="G14" s="5">
        <f ca="1">INT(YEAR(TODAY()))-INT(YEAR(E14))</f>
        <v>45</v>
      </c>
      <c r="H14" s="4" t="s">
        <v>133</v>
      </c>
      <c r="I14" s="4" t="s">
        <v>139</v>
      </c>
      <c r="J14" s="4">
        <v>31000</v>
      </c>
    </row>
    <row r="15" spans="1:10" outlineLevel="3">
      <c r="A15" s="4" t="s">
        <v>74</v>
      </c>
      <c r="B15" s="4" t="s">
        <v>75</v>
      </c>
      <c r="C15" s="4" t="s">
        <v>73</v>
      </c>
      <c r="D15" s="4" t="s">
        <v>16</v>
      </c>
      <c r="E15" s="1">
        <v>29576</v>
      </c>
      <c r="F15" s="1">
        <v>44505</v>
      </c>
      <c r="G15" s="5">
        <f ca="1">INT(YEAR(TODAY()))-INT(YEAR(E15))</f>
        <v>42</v>
      </c>
      <c r="H15" s="4" t="s">
        <v>133</v>
      </c>
      <c r="I15" s="4" t="s">
        <v>138</v>
      </c>
      <c r="J15" s="4">
        <v>31000</v>
      </c>
    </row>
    <row r="16" spans="1:10" outlineLevel="3">
      <c r="A16" s="4" t="s">
        <v>77</v>
      </c>
      <c r="B16" s="4" t="s">
        <v>65</v>
      </c>
      <c r="C16" s="4" t="s">
        <v>76</v>
      </c>
      <c r="D16" s="4" t="s">
        <v>13</v>
      </c>
      <c r="E16" s="1">
        <v>28784</v>
      </c>
      <c r="F16" s="1">
        <v>44506</v>
      </c>
      <c r="G16" s="5">
        <f ca="1">INT(YEAR(TODAY()))-INT(YEAR(E16))</f>
        <v>44</v>
      </c>
      <c r="H16" s="4" t="s">
        <v>133</v>
      </c>
      <c r="I16" s="4" t="s">
        <v>139</v>
      </c>
      <c r="J16" s="4">
        <v>100000</v>
      </c>
    </row>
    <row r="17" spans="1:10" outlineLevel="3">
      <c r="A17" s="4" t="s">
        <v>81</v>
      </c>
      <c r="B17" s="4" t="s">
        <v>32</v>
      </c>
      <c r="C17" s="4" t="s">
        <v>80</v>
      </c>
      <c r="D17" s="4" t="s">
        <v>16</v>
      </c>
      <c r="E17" s="1">
        <v>30702</v>
      </c>
      <c r="F17" s="1">
        <v>44508</v>
      </c>
      <c r="G17" s="5">
        <f ca="1">INT(YEAR(TODAY()))-INT(YEAR(E17))</f>
        <v>38</v>
      </c>
      <c r="H17" s="4" t="s">
        <v>133</v>
      </c>
      <c r="I17" s="4" t="s">
        <v>138</v>
      </c>
      <c r="J17" s="4">
        <v>100000</v>
      </c>
    </row>
    <row r="18" spans="1:10" outlineLevel="3">
      <c r="A18" s="4" t="s">
        <v>83</v>
      </c>
      <c r="B18" s="4" t="s">
        <v>84</v>
      </c>
      <c r="C18" s="4" t="s">
        <v>82</v>
      </c>
      <c r="D18" s="4" t="s">
        <v>16</v>
      </c>
      <c r="E18" s="1">
        <v>28388</v>
      </c>
      <c r="F18" s="1">
        <v>44509</v>
      </c>
      <c r="G18" s="5">
        <f ca="1">INT(YEAR(TODAY()))-INT(YEAR(E18))</f>
        <v>45</v>
      </c>
      <c r="H18" s="4" t="s">
        <v>133</v>
      </c>
      <c r="I18" s="4" t="s">
        <v>139</v>
      </c>
      <c r="J18" s="4">
        <v>20000</v>
      </c>
    </row>
    <row r="19" spans="1:10" outlineLevel="3">
      <c r="A19" s="4" t="s">
        <v>85</v>
      </c>
      <c r="B19" s="4" t="s">
        <v>86</v>
      </c>
      <c r="C19" s="4" t="s">
        <v>73</v>
      </c>
      <c r="D19" s="4" t="s">
        <v>16</v>
      </c>
      <c r="E19" s="1">
        <v>33174</v>
      </c>
      <c r="F19" s="1">
        <v>44510</v>
      </c>
      <c r="G19" s="5">
        <f ca="1">INT(YEAR(TODAY()))-INT(YEAR(E19))</f>
        <v>32</v>
      </c>
      <c r="H19" s="4" t="s">
        <v>133</v>
      </c>
      <c r="I19" s="4" t="s">
        <v>138</v>
      </c>
      <c r="J19" s="4">
        <v>21310</v>
      </c>
    </row>
    <row r="20" spans="1:10" outlineLevel="3">
      <c r="A20" s="4" t="s">
        <v>88</v>
      </c>
      <c r="B20" s="4" t="s">
        <v>89</v>
      </c>
      <c r="C20" s="4" t="s">
        <v>87</v>
      </c>
      <c r="D20" s="4" t="s">
        <v>13</v>
      </c>
      <c r="E20" s="1">
        <v>31904</v>
      </c>
      <c r="F20" s="1">
        <v>44511</v>
      </c>
      <c r="G20" s="5">
        <f ca="1">INT(YEAR(TODAY()))-INT(YEAR(E20))</f>
        <v>35</v>
      </c>
      <c r="H20" s="4" t="s">
        <v>133</v>
      </c>
      <c r="I20" s="4" t="s">
        <v>142</v>
      </c>
      <c r="J20" s="4">
        <v>31000</v>
      </c>
    </row>
    <row r="21" spans="1:10" outlineLevel="3">
      <c r="A21" s="4" t="s">
        <v>47</v>
      </c>
      <c r="B21" s="4" t="s">
        <v>62</v>
      </c>
      <c r="C21" s="4" t="s">
        <v>20</v>
      </c>
      <c r="D21" s="4" t="s">
        <v>13</v>
      </c>
      <c r="E21" s="1">
        <v>29561</v>
      </c>
      <c r="F21" s="1">
        <v>44512</v>
      </c>
      <c r="G21" s="5">
        <f ca="1">INT(YEAR(TODAY()))-INT(YEAR(E21))</f>
        <v>42</v>
      </c>
      <c r="H21" s="4" t="s">
        <v>133</v>
      </c>
      <c r="I21" s="4" t="s">
        <v>138</v>
      </c>
      <c r="J21" s="4">
        <v>100000</v>
      </c>
    </row>
    <row r="22" spans="1:10" outlineLevel="3">
      <c r="A22" s="4" t="s">
        <v>92</v>
      </c>
      <c r="B22" s="4" t="s">
        <v>93</v>
      </c>
      <c r="C22" s="4" t="s">
        <v>20</v>
      </c>
      <c r="D22" s="4" t="s">
        <v>13</v>
      </c>
      <c r="E22" s="1">
        <v>28186</v>
      </c>
      <c r="F22" s="1">
        <v>44514</v>
      </c>
      <c r="G22" s="5">
        <f ca="1">INT(YEAR(TODAY()))-INT(YEAR(E22))</f>
        <v>45</v>
      </c>
      <c r="H22" s="4" t="s">
        <v>133</v>
      </c>
      <c r="I22" s="4" t="s">
        <v>138</v>
      </c>
      <c r="J22" s="4">
        <v>31000</v>
      </c>
    </row>
    <row r="23" spans="1:10" outlineLevel="3">
      <c r="A23" s="4" t="s">
        <v>94</v>
      </c>
      <c r="B23" s="4" t="s">
        <v>31</v>
      </c>
      <c r="C23" s="4" t="s">
        <v>66</v>
      </c>
      <c r="D23" s="4" t="s">
        <v>16</v>
      </c>
      <c r="E23" s="1">
        <v>29857</v>
      </c>
      <c r="F23" s="1">
        <v>44515</v>
      </c>
      <c r="G23" s="5">
        <f ca="1">INT(YEAR(TODAY()))-INT(YEAR(E23))</f>
        <v>41</v>
      </c>
      <c r="H23" s="4" t="s">
        <v>133</v>
      </c>
      <c r="I23" s="4" t="s">
        <v>137</v>
      </c>
      <c r="J23" s="4">
        <v>31000</v>
      </c>
    </row>
    <row r="24" spans="1:10" outlineLevel="3">
      <c r="A24" s="4" t="s">
        <v>96</v>
      </c>
      <c r="B24" s="4" t="s">
        <v>95</v>
      </c>
      <c r="C24" s="4" t="s">
        <v>97</v>
      </c>
      <c r="D24" s="4" t="s">
        <v>16</v>
      </c>
      <c r="E24" s="1">
        <v>28780</v>
      </c>
      <c r="F24" s="1">
        <v>44516</v>
      </c>
      <c r="G24" s="5">
        <f ca="1">INT(YEAR(TODAY()))-INT(YEAR(E24))</f>
        <v>44</v>
      </c>
      <c r="H24" s="4" t="s">
        <v>133</v>
      </c>
      <c r="I24" s="4" t="s">
        <v>137</v>
      </c>
      <c r="J24" s="4">
        <v>20000</v>
      </c>
    </row>
    <row r="25" spans="1:10" outlineLevel="3">
      <c r="A25" s="4" t="s">
        <v>99</v>
      </c>
      <c r="B25" s="4" t="s">
        <v>98</v>
      </c>
      <c r="C25" s="4" t="s">
        <v>100</v>
      </c>
      <c r="D25" s="4" t="s">
        <v>13</v>
      </c>
      <c r="E25" s="1">
        <v>33678</v>
      </c>
      <c r="F25" s="1">
        <v>44517</v>
      </c>
      <c r="G25" s="5">
        <f ca="1">INT(YEAR(TODAY()))-INT(YEAR(E25))</f>
        <v>30</v>
      </c>
      <c r="H25" s="4" t="s">
        <v>133</v>
      </c>
      <c r="I25" s="4" t="s">
        <v>138</v>
      </c>
      <c r="J25" s="4">
        <v>20000</v>
      </c>
    </row>
    <row r="26" spans="1:10" outlineLevel="3">
      <c r="A26" s="4" t="s">
        <v>102</v>
      </c>
      <c r="B26" s="4" t="s">
        <v>101</v>
      </c>
      <c r="C26" s="4" t="s">
        <v>103</v>
      </c>
      <c r="D26" s="4" t="s">
        <v>13</v>
      </c>
      <c r="E26" s="1">
        <v>30463</v>
      </c>
      <c r="F26" s="1">
        <v>44518</v>
      </c>
      <c r="G26" s="5">
        <f ca="1">INT(YEAR(TODAY()))-INT(YEAR(E26))</f>
        <v>39</v>
      </c>
      <c r="H26" s="4" t="s">
        <v>133</v>
      </c>
      <c r="I26" s="4" t="s">
        <v>139</v>
      </c>
      <c r="J26" s="4">
        <v>20000</v>
      </c>
    </row>
    <row r="27" spans="1:10" outlineLevel="3">
      <c r="A27" s="4" t="s">
        <v>107</v>
      </c>
      <c r="B27" s="4" t="s">
        <v>108</v>
      </c>
      <c r="C27" s="4" t="s">
        <v>66</v>
      </c>
      <c r="D27" s="4" t="s">
        <v>16</v>
      </c>
      <c r="E27" s="1">
        <v>29547</v>
      </c>
      <c r="F27" s="1">
        <v>44520</v>
      </c>
      <c r="G27" s="5">
        <f ca="1">INT(YEAR(TODAY()))-INT(YEAR(E27))</f>
        <v>42</v>
      </c>
      <c r="H27" s="4" t="s">
        <v>133</v>
      </c>
      <c r="I27" s="4" t="s">
        <v>138</v>
      </c>
      <c r="J27" s="4">
        <v>100000</v>
      </c>
    </row>
    <row r="28" spans="1:10" outlineLevel="3">
      <c r="A28" s="4" t="s">
        <v>109</v>
      </c>
      <c r="B28" s="4" t="s">
        <v>110</v>
      </c>
      <c r="C28" s="4" t="s">
        <v>20</v>
      </c>
      <c r="D28" s="4" t="s">
        <v>13</v>
      </c>
      <c r="E28" s="1">
        <v>28277</v>
      </c>
      <c r="F28" s="1">
        <v>44521</v>
      </c>
      <c r="G28" s="5">
        <f ca="1">INT(YEAR(TODAY()))-INT(YEAR(E28))</f>
        <v>45</v>
      </c>
      <c r="H28" s="4" t="s">
        <v>133</v>
      </c>
      <c r="I28" s="4" t="s">
        <v>137</v>
      </c>
      <c r="J28" s="4">
        <v>80000</v>
      </c>
    </row>
    <row r="29" spans="1:10" outlineLevel="3">
      <c r="A29" s="4" t="s">
        <v>112</v>
      </c>
      <c r="B29" s="4" t="s">
        <v>113</v>
      </c>
      <c r="C29" s="4" t="s">
        <v>111</v>
      </c>
      <c r="D29" s="4" t="s">
        <v>13</v>
      </c>
      <c r="E29" s="1">
        <v>32297</v>
      </c>
      <c r="F29" s="1">
        <v>44522</v>
      </c>
      <c r="G29" s="5">
        <f ca="1">INT(YEAR(TODAY()))-INT(YEAR(E29))</f>
        <v>34</v>
      </c>
      <c r="H29" s="4" t="s">
        <v>133</v>
      </c>
      <c r="I29" s="4" t="s">
        <v>137</v>
      </c>
      <c r="J29" s="4">
        <v>80000</v>
      </c>
    </row>
    <row r="30" spans="1:10" outlineLevel="3">
      <c r="A30" s="4" t="s">
        <v>117</v>
      </c>
      <c r="B30" s="4" t="s">
        <v>118</v>
      </c>
      <c r="C30" s="4" t="s">
        <v>76</v>
      </c>
      <c r="D30" s="4" t="s">
        <v>13</v>
      </c>
      <c r="E30" s="1">
        <v>29038</v>
      </c>
      <c r="F30" s="1">
        <v>44524</v>
      </c>
      <c r="G30" s="5">
        <f ca="1">INT(YEAR(TODAY()))-INT(YEAR(E30))</f>
        <v>43</v>
      </c>
      <c r="H30" s="4" t="s">
        <v>133</v>
      </c>
      <c r="I30" s="4" t="s">
        <v>138</v>
      </c>
      <c r="J30" s="4">
        <v>100000</v>
      </c>
    </row>
    <row r="31" spans="1:10" outlineLevel="3">
      <c r="A31" s="4" t="s">
        <v>120</v>
      </c>
      <c r="B31" s="4" t="s">
        <v>121</v>
      </c>
      <c r="C31" s="4" t="s">
        <v>119</v>
      </c>
      <c r="D31" s="4" t="s">
        <v>13</v>
      </c>
      <c r="E31" s="1">
        <v>27732</v>
      </c>
      <c r="F31" s="1">
        <v>44525</v>
      </c>
      <c r="G31" s="5">
        <f ca="1">INT(YEAR(TODAY()))-INT(YEAR(E31))</f>
        <v>47</v>
      </c>
      <c r="H31" s="4" t="s">
        <v>133</v>
      </c>
      <c r="I31" s="4" t="s">
        <v>137</v>
      </c>
      <c r="J31" s="4">
        <v>100000</v>
      </c>
    </row>
    <row r="32" spans="1:10" outlineLevel="3">
      <c r="A32" s="4" t="s">
        <v>122</v>
      </c>
      <c r="B32" s="4" t="s">
        <v>123</v>
      </c>
      <c r="C32" s="4" t="s">
        <v>57</v>
      </c>
      <c r="D32" s="4" t="s">
        <v>16</v>
      </c>
      <c r="E32" s="1">
        <v>29808</v>
      </c>
      <c r="F32" s="1">
        <v>44526</v>
      </c>
      <c r="G32" s="5">
        <f ca="1">INT(YEAR(TODAY()))-INT(YEAR(E32))</f>
        <v>41</v>
      </c>
      <c r="H32" s="4" t="s">
        <v>133</v>
      </c>
      <c r="I32" s="4" t="s">
        <v>139</v>
      </c>
      <c r="J32" s="4">
        <v>100000</v>
      </c>
    </row>
    <row r="33" spans="1:10" outlineLevel="3">
      <c r="A33" s="4" t="s">
        <v>125</v>
      </c>
      <c r="B33" s="4" t="s">
        <v>126</v>
      </c>
      <c r="C33" s="4" t="s">
        <v>124</v>
      </c>
      <c r="D33" s="4" t="s">
        <v>13</v>
      </c>
      <c r="E33" s="1">
        <v>29109</v>
      </c>
      <c r="F33" s="1">
        <v>44527</v>
      </c>
      <c r="G33" s="5">
        <f ca="1">INT(YEAR(TODAY()))-INT(YEAR(E33))</f>
        <v>43</v>
      </c>
      <c r="H33" s="4" t="s">
        <v>133</v>
      </c>
      <c r="I33" s="4" t="s">
        <v>137</v>
      </c>
      <c r="J33" s="4">
        <v>211000</v>
      </c>
    </row>
    <row r="34" spans="1:10" outlineLevel="3">
      <c r="A34" s="4" t="s">
        <v>131</v>
      </c>
      <c r="B34" s="4" t="s">
        <v>132</v>
      </c>
      <c r="C34" s="4" t="s">
        <v>130</v>
      </c>
      <c r="D34" s="4" t="s">
        <v>13</v>
      </c>
      <c r="E34" s="1">
        <v>31213</v>
      </c>
      <c r="F34" s="1">
        <v>44530</v>
      </c>
      <c r="G34" s="5">
        <f ca="1">INT(YEAR(TODAY()))-INT(YEAR(E34))</f>
        <v>37</v>
      </c>
      <c r="H34" s="4" t="s">
        <v>133</v>
      </c>
      <c r="I34" s="4" t="s">
        <v>143</v>
      </c>
      <c r="J34" s="4">
        <v>21310</v>
      </c>
    </row>
    <row r="35" spans="1:10" outlineLevel="2">
      <c r="A35" s="4"/>
      <c r="B35" s="4"/>
      <c r="C35" s="4"/>
      <c r="D35" s="4"/>
      <c r="E35" s="1"/>
      <c r="F35" s="1"/>
      <c r="G35" s="5"/>
      <c r="H35" s="7" t="s">
        <v>161</v>
      </c>
      <c r="I35" s="4"/>
      <c r="J35" s="4">
        <f>SUBTOTAL(1,J2:J34)</f>
        <v>58818.121212121216</v>
      </c>
    </row>
    <row r="36" spans="1:10" outlineLevel="1">
      <c r="A36" s="4"/>
      <c r="B36" s="4"/>
      <c r="C36" s="4"/>
      <c r="D36" s="4"/>
      <c r="E36" s="1"/>
      <c r="F36" s="1"/>
      <c r="G36" s="5"/>
      <c r="H36" s="7" t="s">
        <v>158</v>
      </c>
      <c r="I36" s="4"/>
      <c r="J36" s="4">
        <f>SUBTOTAL(9,J2:J34)</f>
        <v>1940998</v>
      </c>
    </row>
    <row r="37" spans="1:10" outlineLevel="3">
      <c r="A37" s="4" t="s">
        <v>37</v>
      </c>
      <c r="B37" s="4" t="s">
        <v>36</v>
      </c>
      <c r="C37" s="4" t="s">
        <v>35</v>
      </c>
      <c r="D37" s="4" t="s">
        <v>16</v>
      </c>
      <c r="E37" s="1">
        <v>28013</v>
      </c>
      <c r="F37" s="1">
        <v>44491</v>
      </c>
      <c r="G37" s="5">
        <f ca="1">INT(YEAR(TODAY()))-INT(YEAR(E37))</f>
        <v>46</v>
      </c>
      <c r="H37" s="4" t="s">
        <v>148</v>
      </c>
      <c r="I37" s="4" t="s">
        <v>149</v>
      </c>
      <c r="J37" s="4">
        <v>70034</v>
      </c>
    </row>
    <row r="38" spans="1:10" outlineLevel="3">
      <c r="A38" s="4" t="s">
        <v>43</v>
      </c>
      <c r="B38" s="4" t="s">
        <v>42</v>
      </c>
      <c r="C38" s="4" t="s">
        <v>41</v>
      </c>
      <c r="D38" s="4" t="s">
        <v>13</v>
      </c>
      <c r="E38" s="1">
        <v>29013</v>
      </c>
      <c r="F38" s="1">
        <v>44493</v>
      </c>
      <c r="G38" s="5">
        <f ca="1">INT(YEAR(TODAY()))-INT(YEAR(E38))</f>
        <v>43</v>
      </c>
      <c r="H38" s="4" t="s">
        <v>148</v>
      </c>
      <c r="I38" s="4" t="s">
        <v>149</v>
      </c>
      <c r="J38" s="4">
        <v>70034</v>
      </c>
    </row>
    <row r="39" spans="1:10" outlineLevel="3">
      <c r="A39" s="4" t="s">
        <v>71</v>
      </c>
      <c r="B39" s="4" t="s">
        <v>72</v>
      </c>
      <c r="C39" s="4" t="s">
        <v>70</v>
      </c>
      <c r="D39" s="4" t="s">
        <v>16</v>
      </c>
      <c r="E39" s="1">
        <v>32912</v>
      </c>
      <c r="F39" s="1">
        <v>44504</v>
      </c>
      <c r="G39" s="5">
        <f ca="1">INT(YEAR(TODAY()))-INT(YEAR(E39))</f>
        <v>32</v>
      </c>
      <c r="H39" s="4" t="s">
        <v>148</v>
      </c>
      <c r="I39" s="4" t="s">
        <v>149</v>
      </c>
      <c r="J39" s="4">
        <v>20000</v>
      </c>
    </row>
    <row r="40" spans="1:10" outlineLevel="3">
      <c r="A40" s="4" t="s">
        <v>78</v>
      </c>
      <c r="B40" s="4" t="s">
        <v>79</v>
      </c>
      <c r="C40" s="4" t="s">
        <v>41</v>
      </c>
      <c r="D40" s="4" t="s">
        <v>13</v>
      </c>
      <c r="E40" s="1">
        <v>28136</v>
      </c>
      <c r="F40" s="1">
        <v>44507</v>
      </c>
      <c r="G40" s="5">
        <f ca="1">INT(YEAR(TODAY()))-INT(YEAR(E40))</f>
        <v>45</v>
      </c>
      <c r="H40" s="4" t="s">
        <v>148</v>
      </c>
      <c r="I40" s="4" t="s">
        <v>149</v>
      </c>
      <c r="J40" s="4">
        <v>40000</v>
      </c>
    </row>
    <row r="41" spans="1:10" outlineLevel="3">
      <c r="A41" s="4" t="s">
        <v>105</v>
      </c>
      <c r="B41" s="4" t="s">
        <v>106</v>
      </c>
      <c r="C41" s="4" t="s">
        <v>104</v>
      </c>
      <c r="D41" s="4" t="s">
        <v>16</v>
      </c>
      <c r="E41" s="1">
        <v>32382</v>
      </c>
      <c r="F41" s="1">
        <v>44519</v>
      </c>
      <c r="G41" s="5">
        <f ca="1">INT(YEAR(TODAY()))-INT(YEAR(E41))</f>
        <v>34</v>
      </c>
      <c r="H41" s="4" t="s">
        <v>148</v>
      </c>
      <c r="I41" s="4" t="s">
        <v>149</v>
      </c>
      <c r="J41" s="4">
        <v>70034</v>
      </c>
    </row>
    <row r="42" spans="1:10" outlineLevel="3">
      <c r="A42" s="4" t="s">
        <v>129</v>
      </c>
      <c r="B42" s="4" t="s">
        <v>121</v>
      </c>
      <c r="C42" s="4" t="s">
        <v>128</v>
      </c>
      <c r="D42" s="4" t="s">
        <v>13</v>
      </c>
      <c r="E42" s="1">
        <v>32293</v>
      </c>
      <c r="F42" s="1">
        <v>44529</v>
      </c>
      <c r="G42" s="5">
        <f ca="1">INT(YEAR(TODAY()))-INT(YEAR(E42))</f>
        <v>34</v>
      </c>
      <c r="H42" s="4" t="s">
        <v>148</v>
      </c>
      <c r="I42" s="4" t="s">
        <v>149</v>
      </c>
      <c r="J42" s="4">
        <v>40000</v>
      </c>
    </row>
    <row r="43" spans="1:10" outlineLevel="2">
      <c r="A43" s="4"/>
      <c r="B43" s="4"/>
      <c r="C43" s="4"/>
      <c r="D43" s="4"/>
      <c r="E43" s="1"/>
      <c r="F43" s="1"/>
      <c r="G43" s="5"/>
      <c r="H43" s="8" t="s">
        <v>163</v>
      </c>
      <c r="I43" s="4"/>
      <c r="J43" s="4">
        <f>SUBTOTAL(1,J37:J42)</f>
        <v>51683.666666666664</v>
      </c>
    </row>
    <row r="44" spans="1:10" outlineLevel="1">
      <c r="A44" s="4"/>
      <c r="B44" s="4"/>
      <c r="C44" s="4"/>
      <c r="D44" s="4"/>
      <c r="E44" s="1"/>
      <c r="F44" s="1"/>
      <c r="G44" s="5"/>
      <c r="H44" s="8" t="s">
        <v>160</v>
      </c>
      <c r="I44" s="4"/>
      <c r="J44" s="4">
        <f>SUBTOTAL(9,J37:J42)</f>
        <v>310102</v>
      </c>
    </row>
    <row r="45" spans="1:10" outlineLevel="3">
      <c r="A45" s="4" t="s">
        <v>21</v>
      </c>
      <c r="B45" s="4" t="s">
        <v>22</v>
      </c>
      <c r="C45" s="4" t="s">
        <v>20</v>
      </c>
      <c r="D45" s="4" t="s">
        <v>13</v>
      </c>
      <c r="E45" s="1">
        <v>31434</v>
      </c>
      <c r="F45" s="1">
        <v>44485</v>
      </c>
      <c r="G45" s="5">
        <f ca="1">INT(YEAR(TODAY()))-INT(YEAR(E45))</f>
        <v>36</v>
      </c>
      <c r="H45" s="4" t="s">
        <v>144</v>
      </c>
      <c r="I45" s="4" t="s">
        <v>145</v>
      </c>
      <c r="J45" s="4">
        <v>70034</v>
      </c>
    </row>
    <row r="46" spans="1:10" outlineLevel="3">
      <c r="A46" s="4" t="s">
        <v>150</v>
      </c>
      <c r="B46" s="4" t="s">
        <v>26</v>
      </c>
      <c r="C46" s="4" t="s">
        <v>27</v>
      </c>
      <c r="D46" s="4" t="s">
        <v>16</v>
      </c>
      <c r="E46" s="1">
        <v>31216</v>
      </c>
      <c r="F46" s="1">
        <v>44487</v>
      </c>
      <c r="G46" s="5">
        <f ca="1">INT(YEAR(TODAY()))-INT(YEAR(E46))</f>
        <v>37</v>
      </c>
      <c r="H46" s="4" t="s">
        <v>144</v>
      </c>
      <c r="I46" s="4" t="s">
        <v>147</v>
      </c>
      <c r="J46" s="4">
        <v>20000</v>
      </c>
    </row>
    <row r="47" spans="1:10" outlineLevel="3">
      <c r="A47" s="4" t="s">
        <v>30</v>
      </c>
      <c r="B47" s="4" t="s">
        <v>28</v>
      </c>
      <c r="C47" s="4" t="s">
        <v>29</v>
      </c>
      <c r="D47" s="4" t="s">
        <v>16</v>
      </c>
      <c r="E47" s="1">
        <v>33856</v>
      </c>
      <c r="F47" s="1">
        <v>44488</v>
      </c>
      <c r="G47" s="5">
        <f ca="1">INT(YEAR(TODAY()))-INT(YEAR(E47))</f>
        <v>30</v>
      </c>
      <c r="H47" s="4" t="s">
        <v>144</v>
      </c>
      <c r="I47" s="4" t="s">
        <v>147</v>
      </c>
      <c r="J47" s="4">
        <v>70034</v>
      </c>
    </row>
    <row r="48" spans="1:10" outlineLevel="3">
      <c r="A48" s="4" t="s">
        <v>55</v>
      </c>
      <c r="B48" s="4" t="s">
        <v>56</v>
      </c>
      <c r="C48" s="4" t="s">
        <v>54</v>
      </c>
      <c r="D48" s="4" t="s">
        <v>13</v>
      </c>
      <c r="E48" s="1">
        <v>31684</v>
      </c>
      <c r="F48" s="1">
        <v>44498</v>
      </c>
      <c r="G48" s="5">
        <f ca="1">INT(YEAR(TODAY()))-INT(YEAR(E48))</f>
        <v>36</v>
      </c>
      <c r="H48" s="4" t="s">
        <v>144</v>
      </c>
      <c r="I48" s="4" t="s">
        <v>145</v>
      </c>
      <c r="J48" s="4">
        <v>20000</v>
      </c>
    </row>
    <row r="49" spans="1:10" outlineLevel="3">
      <c r="A49" s="4" t="s">
        <v>64</v>
      </c>
      <c r="B49" s="4" t="s">
        <v>65</v>
      </c>
      <c r="C49" s="4" t="s">
        <v>63</v>
      </c>
      <c r="D49" s="4" t="s">
        <v>13</v>
      </c>
      <c r="E49" s="1">
        <v>30065</v>
      </c>
      <c r="F49" s="1">
        <v>44501</v>
      </c>
      <c r="G49" s="5">
        <f ca="1">INT(YEAR(TODAY()))-INT(YEAR(E49))</f>
        <v>40</v>
      </c>
      <c r="H49" s="4" t="s">
        <v>144</v>
      </c>
      <c r="I49" s="4" t="s">
        <v>146</v>
      </c>
      <c r="J49" s="4">
        <v>31000</v>
      </c>
    </row>
    <row r="50" spans="1:10" outlineLevel="3">
      <c r="A50" s="4" t="s">
        <v>67</v>
      </c>
      <c r="B50" s="4" t="s">
        <v>32</v>
      </c>
      <c r="C50" s="4" t="s">
        <v>66</v>
      </c>
      <c r="D50" s="4" t="s">
        <v>16</v>
      </c>
      <c r="E50" s="1">
        <v>29640</v>
      </c>
      <c r="F50" s="1">
        <v>44502</v>
      </c>
      <c r="G50" s="5">
        <f ca="1">INT(YEAR(TODAY()))-INT(YEAR(E50))</f>
        <v>41</v>
      </c>
      <c r="H50" s="4" t="s">
        <v>144</v>
      </c>
      <c r="I50" s="4" t="s">
        <v>145</v>
      </c>
      <c r="J50" s="4">
        <v>20000</v>
      </c>
    </row>
    <row r="51" spans="1:10" outlineLevel="3">
      <c r="A51" s="4" t="s">
        <v>68</v>
      </c>
      <c r="B51" s="4" t="s">
        <v>69</v>
      </c>
      <c r="C51" s="4" t="s">
        <v>34</v>
      </c>
      <c r="D51" s="4" t="s">
        <v>16</v>
      </c>
      <c r="E51" s="1">
        <v>27489</v>
      </c>
      <c r="F51" s="1">
        <v>44503</v>
      </c>
      <c r="G51" s="5">
        <f ca="1">INT(YEAR(TODAY()))-INT(YEAR(E51))</f>
        <v>47</v>
      </c>
      <c r="H51" s="4" t="s">
        <v>144</v>
      </c>
      <c r="I51" s="4" t="s">
        <v>146</v>
      </c>
      <c r="J51" s="4">
        <v>20000</v>
      </c>
    </row>
    <row r="52" spans="1:10" outlineLevel="3">
      <c r="A52" s="4" t="s">
        <v>91</v>
      </c>
      <c r="B52" s="4" t="s">
        <v>18</v>
      </c>
      <c r="C52" s="4" t="s">
        <v>90</v>
      </c>
      <c r="D52" s="4" t="s">
        <v>13</v>
      </c>
      <c r="E52" s="1">
        <v>33214</v>
      </c>
      <c r="F52" s="1">
        <v>44513</v>
      </c>
      <c r="G52" s="5">
        <f ca="1">INT(YEAR(TODAY()))-INT(YEAR(E52))</f>
        <v>32</v>
      </c>
      <c r="H52" s="4" t="s">
        <v>144</v>
      </c>
      <c r="I52" s="4" t="s">
        <v>146</v>
      </c>
      <c r="J52" s="4">
        <v>100000</v>
      </c>
    </row>
    <row r="53" spans="1:10" outlineLevel="3">
      <c r="A53" s="4" t="s">
        <v>115</v>
      </c>
      <c r="B53" s="4" t="s">
        <v>116</v>
      </c>
      <c r="C53" s="4" t="s">
        <v>114</v>
      </c>
      <c r="D53" s="4" t="s">
        <v>13</v>
      </c>
      <c r="E53" s="1">
        <v>33771</v>
      </c>
      <c r="F53" s="1">
        <v>44523</v>
      </c>
      <c r="G53" s="5">
        <f ca="1">INT(YEAR(TODAY()))-INT(YEAR(E53))</f>
        <v>30</v>
      </c>
      <c r="H53" s="4" t="s">
        <v>144</v>
      </c>
      <c r="I53" s="4" t="s">
        <v>145</v>
      </c>
      <c r="J53" s="4">
        <v>70034</v>
      </c>
    </row>
    <row r="54" spans="1:10" outlineLevel="3">
      <c r="A54" s="4" t="s">
        <v>127</v>
      </c>
      <c r="B54" s="4" t="s">
        <v>25</v>
      </c>
      <c r="C54" s="4" t="s">
        <v>90</v>
      </c>
      <c r="D54" s="4" t="s">
        <v>13</v>
      </c>
      <c r="E54" s="1">
        <v>30009</v>
      </c>
      <c r="F54" s="1">
        <v>44528</v>
      </c>
      <c r="G54" s="5">
        <f ca="1">INT(YEAR(TODAY()))-INT(YEAR(E54))</f>
        <v>40</v>
      </c>
      <c r="H54" s="4" t="s">
        <v>144</v>
      </c>
      <c r="I54" s="4" t="s">
        <v>146</v>
      </c>
      <c r="J54" s="4">
        <v>70034</v>
      </c>
    </row>
    <row r="55" spans="1:10" outlineLevel="2">
      <c r="A55" s="4"/>
      <c r="B55" s="4"/>
      <c r="C55" s="4"/>
      <c r="D55" s="4"/>
      <c r="E55" s="1"/>
      <c r="F55" s="1"/>
      <c r="G55" s="5"/>
      <c r="H55" s="8" t="s">
        <v>162</v>
      </c>
      <c r="I55" s="4"/>
      <c r="J55" s="4">
        <f>SUBTOTAL(1,J45:J54)</f>
        <v>49113.599999999999</v>
      </c>
    </row>
    <row r="56" spans="1:10" outlineLevel="1">
      <c r="A56" s="4"/>
      <c r="B56" s="4"/>
      <c r="C56" s="4"/>
      <c r="D56" s="4"/>
      <c r="E56" s="1"/>
      <c r="F56" s="1"/>
      <c r="G56" s="5"/>
      <c r="H56" s="8" t="s">
        <v>159</v>
      </c>
      <c r="I56" s="4"/>
      <c r="J56" s="4">
        <f>SUBTOTAL(9,J45:J54)</f>
        <v>491136</v>
      </c>
    </row>
    <row r="57" spans="1:10">
      <c r="A57" s="4"/>
      <c r="B57" s="4"/>
      <c r="C57" s="4"/>
      <c r="D57" s="4"/>
      <c r="E57" s="1"/>
      <c r="F57" s="1"/>
      <c r="G57" s="5"/>
      <c r="H57" s="8" t="s">
        <v>164</v>
      </c>
      <c r="I57" s="4"/>
      <c r="J57" s="4">
        <f>SUBTOTAL(1,J2:J54)</f>
        <v>55964</v>
      </c>
    </row>
    <row r="58" spans="1:10">
      <c r="A58" s="4"/>
      <c r="B58" s="4"/>
      <c r="C58" s="4"/>
      <c r="D58" s="4"/>
      <c r="E58" s="1"/>
      <c r="F58" s="1"/>
      <c r="G58" s="5"/>
      <c r="H58" s="8" t="s">
        <v>157</v>
      </c>
      <c r="I58" s="4"/>
      <c r="J58" s="4">
        <f>SUBTOTAL(9,J2:J54)</f>
        <v>2742236</v>
      </c>
    </row>
  </sheetData>
  <sortState ref="A2:J50">
    <sortCondition ref="H1"/>
  </sortState>
  <dataValidations count="1">
    <dataValidation type="list" allowBlank="1" showInputMessage="1" showErrorMessage="1" sqref="D37:D42 D1:D34 D45:D54">
      <formula1>"М, Ж"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0"/>
  <sheetViews>
    <sheetView topLeftCell="C1" workbookViewId="0">
      <selection activeCell="M4" sqref="M4"/>
    </sheetView>
  </sheetViews>
  <sheetFormatPr defaultRowHeight="15"/>
  <cols>
    <col min="1" max="1" width="15.28515625" customWidth="1"/>
    <col min="2" max="2" width="21" customWidth="1"/>
    <col min="3" max="3" width="23.28515625" customWidth="1"/>
    <col min="4" max="4" width="15.7109375" customWidth="1"/>
    <col min="5" max="5" width="10.140625" customWidth="1"/>
    <col min="6" max="6" width="11" customWidth="1"/>
    <col min="8" max="8" width="24.28515625" customWidth="1"/>
    <col min="9" max="9" width="37.42578125" customWidth="1"/>
  </cols>
  <sheetData>
    <row r="1" spans="1:23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N1" s="4"/>
      <c r="O1" s="4"/>
      <c r="P1" s="4"/>
      <c r="Q1" s="4"/>
      <c r="R1" s="3"/>
      <c r="S1" s="1"/>
      <c r="U1" s="4"/>
      <c r="V1" s="4"/>
      <c r="W1" s="4"/>
    </row>
    <row r="2" spans="1:23">
      <c r="A2" s="4" t="s">
        <v>10</v>
      </c>
      <c r="B2" s="4" t="s">
        <v>11</v>
      </c>
      <c r="C2" s="4" t="s">
        <v>12</v>
      </c>
      <c r="D2" s="4" t="s">
        <v>13</v>
      </c>
      <c r="E2" s="1">
        <v>30722</v>
      </c>
      <c r="F2" s="1">
        <v>44482</v>
      </c>
      <c r="G2" s="5">
        <f ca="1">INT(YEAR(TODAY()))-INT(YEAR(E2))</f>
        <v>38</v>
      </c>
      <c r="H2" s="4" t="s">
        <v>133</v>
      </c>
      <c r="I2" s="4" t="s">
        <v>141</v>
      </c>
      <c r="J2" s="4">
        <v>20000</v>
      </c>
    </row>
    <row r="3" spans="1:23">
      <c r="A3" s="4" t="s">
        <v>150</v>
      </c>
      <c r="B3" s="4" t="s">
        <v>14</v>
      </c>
      <c r="C3" s="4" t="s">
        <v>15</v>
      </c>
      <c r="D3" s="4" t="s">
        <v>16</v>
      </c>
      <c r="E3" s="2">
        <v>33057</v>
      </c>
      <c r="F3" s="1">
        <v>44483</v>
      </c>
      <c r="G3" s="5">
        <f t="shared" ref="G3:G50" ca="1" si="0">INT(YEAR(TODAY()))-INT(YEAR(E3))</f>
        <v>32</v>
      </c>
      <c r="H3" s="4" t="s">
        <v>133</v>
      </c>
      <c r="I3" s="4" t="s">
        <v>139</v>
      </c>
      <c r="J3" s="4">
        <v>20000</v>
      </c>
    </row>
    <row r="4" spans="1:23">
      <c r="A4" s="4" t="s">
        <v>17</v>
      </c>
      <c r="B4" s="4" t="s">
        <v>18</v>
      </c>
      <c r="C4" s="4" t="s">
        <v>19</v>
      </c>
      <c r="D4" s="4" t="s">
        <v>13</v>
      </c>
      <c r="E4" s="1">
        <v>31518</v>
      </c>
      <c r="F4" s="1">
        <v>44484</v>
      </c>
      <c r="G4" s="5">
        <f t="shared" ca="1" si="0"/>
        <v>36</v>
      </c>
      <c r="H4" s="4" t="s">
        <v>133</v>
      </c>
      <c r="I4" s="4" t="s">
        <v>140</v>
      </c>
      <c r="J4" s="4">
        <v>20000</v>
      </c>
    </row>
    <row r="5" spans="1:23">
      <c r="A5" s="4" t="s">
        <v>21</v>
      </c>
      <c r="B5" s="4" t="s">
        <v>22</v>
      </c>
      <c r="C5" s="4" t="s">
        <v>20</v>
      </c>
      <c r="D5" s="4" t="s">
        <v>13</v>
      </c>
      <c r="E5" s="1">
        <v>31434</v>
      </c>
      <c r="F5" s="1">
        <v>44485</v>
      </c>
      <c r="G5" s="5">
        <f t="shared" ca="1" si="0"/>
        <v>36</v>
      </c>
      <c r="H5" s="4" t="s">
        <v>144</v>
      </c>
      <c r="I5" s="4" t="s">
        <v>145</v>
      </c>
      <c r="J5" s="4">
        <v>70034</v>
      </c>
    </row>
    <row r="6" spans="1:23">
      <c r="A6" s="4" t="s">
        <v>24</v>
      </c>
      <c r="B6" s="4" t="s">
        <v>25</v>
      </c>
      <c r="C6" s="4" t="s">
        <v>23</v>
      </c>
      <c r="D6" s="4" t="s">
        <v>13</v>
      </c>
      <c r="E6" s="1">
        <v>33806</v>
      </c>
      <c r="F6" s="1">
        <v>44486</v>
      </c>
      <c r="G6" s="5">
        <f t="shared" ca="1" si="0"/>
        <v>30</v>
      </c>
      <c r="H6" s="4" t="s">
        <v>133</v>
      </c>
      <c r="I6" s="4" t="s">
        <v>137</v>
      </c>
      <c r="J6" s="4">
        <v>70034</v>
      </c>
    </row>
    <row r="7" spans="1:23">
      <c r="A7" s="4" t="s">
        <v>150</v>
      </c>
      <c r="B7" s="4" t="s">
        <v>26</v>
      </c>
      <c r="C7" s="4" t="s">
        <v>27</v>
      </c>
      <c r="D7" s="4" t="s">
        <v>16</v>
      </c>
      <c r="E7" s="1">
        <v>31216</v>
      </c>
      <c r="F7" s="1">
        <v>44487</v>
      </c>
      <c r="G7" s="5">
        <f t="shared" ca="1" si="0"/>
        <v>37</v>
      </c>
      <c r="H7" s="4" t="s">
        <v>144</v>
      </c>
      <c r="I7" s="4" t="s">
        <v>147</v>
      </c>
      <c r="J7" s="4">
        <v>20000</v>
      </c>
    </row>
    <row r="8" spans="1:23">
      <c r="A8" s="4" t="s">
        <v>30</v>
      </c>
      <c r="B8" s="4" t="s">
        <v>28</v>
      </c>
      <c r="C8" s="4" t="s">
        <v>29</v>
      </c>
      <c r="D8" s="4" t="s">
        <v>16</v>
      </c>
      <c r="E8" s="1">
        <v>33856</v>
      </c>
      <c r="F8" s="1">
        <v>44488</v>
      </c>
      <c r="G8" s="5">
        <f t="shared" ca="1" si="0"/>
        <v>30</v>
      </c>
      <c r="H8" s="4" t="s">
        <v>144</v>
      </c>
      <c r="I8" s="4" t="s">
        <v>147</v>
      </c>
      <c r="J8" s="4">
        <v>70034</v>
      </c>
    </row>
    <row r="9" spans="1:23">
      <c r="A9" s="4" t="s">
        <v>134</v>
      </c>
      <c r="B9" s="4" t="s">
        <v>135</v>
      </c>
      <c r="C9" s="4" t="s">
        <v>136</v>
      </c>
      <c r="D9" s="4" t="s">
        <v>16</v>
      </c>
      <c r="E9" s="1">
        <v>30198</v>
      </c>
      <c r="F9" s="1">
        <v>44489</v>
      </c>
      <c r="G9" s="5">
        <f t="shared" ca="1" si="0"/>
        <v>40</v>
      </c>
      <c r="H9" s="4" t="s">
        <v>133</v>
      </c>
      <c r="I9" s="4" t="s">
        <v>140</v>
      </c>
      <c r="J9" s="4">
        <v>21310</v>
      </c>
    </row>
    <row r="10" spans="1:23">
      <c r="A10" s="4" t="s">
        <v>33</v>
      </c>
      <c r="B10" s="4" t="s">
        <v>32</v>
      </c>
      <c r="C10" s="4" t="s">
        <v>34</v>
      </c>
      <c r="D10" s="4" t="s">
        <v>16</v>
      </c>
      <c r="E10" s="1">
        <v>31887</v>
      </c>
      <c r="F10" s="1">
        <v>44490</v>
      </c>
      <c r="G10" s="5">
        <f t="shared" ca="1" si="0"/>
        <v>35</v>
      </c>
      <c r="H10" s="4" t="s">
        <v>133</v>
      </c>
      <c r="I10" s="4" t="s">
        <v>137</v>
      </c>
      <c r="J10" s="4">
        <v>70034</v>
      </c>
    </row>
    <row r="11" spans="1:23">
      <c r="A11" s="4" t="s">
        <v>37</v>
      </c>
      <c r="B11" s="4" t="s">
        <v>36</v>
      </c>
      <c r="C11" s="4" t="s">
        <v>35</v>
      </c>
      <c r="D11" s="4" t="s">
        <v>16</v>
      </c>
      <c r="E11" s="1">
        <v>28013</v>
      </c>
      <c r="F11" s="1">
        <v>44491</v>
      </c>
      <c r="G11" s="5">
        <f t="shared" ca="1" si="0"/>
        <v>46</v>
      </c>
      <c r="H11" s="4" t="s">
        <v>148</v>
      </c>
      <c r="I11" s="4" t="s">
        <v>149</v>
      </c>
      <c r="J11" s="4">
        <v>70034</v>
      </c>
    </row>
    <row r="12" spans="1:23">
      <c r="A12" s="4" t="s">
        <v>40</v>
      </c>
      <c r="B12" s="4" t="s">
        <v>39</v>
      </c>
      <c r="C12" s="4" t="s">
        <v>38</v>
      </c>
      <c r="D12" s="4" t="s">
        <v>13</v>
      </c>
      <c r="E12" s="1">
        <v>32646</v>
      </c>
      <c r="F12" s="1">
        <v>44492</v>
      </c>
      <c r="G12" s="5">
        <f t="shared" ca="1" si="0"/>
        <v>33</v>
      </c>
      <c r="H12" s="4" t="s">
        <v>133</v>
      </c>
      <c r="I12" s="4" t="s">
        <v>140</v>
      </c>
      <c r="J12" s="4">
        <v>100000</v>
      </c>
    </row>
    <row r="13" spans="1:23">
      <c r="A13" s="4" t="s">
        <v>43</v>
      </c>
      <c r="B13" s="4" t="s">
        <v>42</v>
      </c>
      <c r="C13" s="4" t="s">
        <v>41</v>
      </c>
      <c r="D13" s="4" t="s">
        <v>13</v>
      </c>
      <c r="E13" s="1">
        <v>29013</v>
      </c>
      <c r="F13" s="1">
        <v>44493</v>
      </c>
      <c r="G13" s="5">
        <f t="shared" ca="1" si="0"/>
        <v>43</v>
      </c>
      <c r="H13" s="4" t="s">
        <v>148</v>
      </c>
      <c r="I13" s="4" t="s">
        <v>149</v>
      </c>
      <c r="J13" s="4">
        <v>70034</v>
      </c>
    </row>
    <row r="14" spans="1:23">
      <c r="A14" s="4" t="s">
        <v>151</v>
      </c>
      <c r="B14" s="4" t="s">
        <v>45</v>
      </c>
      <c r="C14" s="4" t="s">
        <v>44</v>
      </c>
      <c r="D14" s="4" t="s">
        <v>13</v>
      </c>
      <c r="E14" s="1">
        <v>27847</v>
      </c>
      <c r="F14" s="1">
        <v>44494</v>
      </c>
      <c r="G14" s="5">
        <f t="shared" ca="1" si="0"/>
        <v>46</v>
      </c>
      <c r="H14" s="4" t="s">
        <v>133</v>
      </c>
      <c r="I14" s="4" t="s">
        <v>137</v>
      </c>
      <c r="J14" s="4">
        <v>100000</v>
      </c>
    </row>
    <row r="15" spans="1:23">
      <c r="A15" s="4" t="s">
        <v>47</v>
      </c>
      <c r="B15" s="4" t="s">
        <v>48</v>
      </c>
      <c r="C15" s="4" t="s">
        <v>46</v>
      </c>
      <c r="D15" s="4" t="s">
        <v>13</v>
      </c>
      <c r="E15" s="1">
        <v>33082</v>
      </c>
      <c r="F15" s="1">
        <v>44495</v>
      </c>
      <c r="G15" s="5">
        <f t="shared" ca="1" si="0"/>
        <v>32</v>
      </c>
      <c r="H15" s="4" t="s">
        <v>133</v>
      </c>
      <c r="I15" s="4" t="s">
        <v>140</v>
      </c>
      <c r="J15" s="4">
        <v>31000</v>
      </c>
    </row>
    <row r="16" spans="1:23">
      <c r="A16" s="4" t="s">
        <v>50</v>
      </c>
      <c r="B16" s="4" t="s">
        <v>51</v>
      </c>
      <c r="C16" s="4" t="s">
        <v>49</v>
      </c>
      <c r="D16" s="4" t="s">
        <v>13</v>
      </c>
      <c r="E16" s="1">
        <v>28967</v>
      </c>
      <c r="F16" s="1">
        <v>44496</v>
      </c>
      <c r="G16" s="5">
        <f t="shared" ca="1" si="0"/>
        <v>43</v>
      </c>
      <c r="H16" s="4" t="s">
        <v>133</v>
      </c>
      <c r="I16" s="4" t="s">
        <v>137</v>
      </c>
      <c r="J16" s="4">
        <v>100000</v>
      </c>
    </row>
    <row r="17" spans="1:10">
      <c r="A17" s="4" t="s">
        <v>53</v>
      </c>
      <c r="B17" s="4" t="s">
        <v>14</v>
      </c>
      <c r="C17" s="4" t="s">
        <v>52</v>
      </c>
      <c r="D17" s="4" t="s">
        <v>16</v>
      </c>
      <c r="E17" s="1">
        <v>30813</v>
      </c>
      <c r="F17" s="1">
        <v>44497</v>
      </c>
      <c r="G17" s="5">
        <f t="shared" ca="1" si="0"/>
        <v>38</v>
      </c>
      <c r="H17" s="4" t="s">
        <v>133</v>
      </c>
      <c r="I17" s="4" t="s">
        <v>139</v>
      </c>
      <c r="J17" s="4">
        <v>20000</v>
      </c>
    </row>
    <row r="18" spans="1:10">
      <c r="A18" s="4" t="s">
        <v>55</v>
      </c>
      <c r="B18" s="4" t="s">
        <v>56</v>
      </c>
      <c r="C18" s="4" t="s">
        <v>54</v>
      </c>
      <c r="D18" s="4" t="s">
        <v>13</v>
      </c>
      <c r="E18" s="1">
        <v>31684</v>
      </c>
      <c r="F18" s="1">
        <v>44498</v>
      </c>
      <c r="G18" s="5">
        <f t="shared" ca="1" si="0"/>
        <v>36</v>
      </c>
      <c r="H18" s="4" t="s">
        <v>144</v>
      </c>
      <c r="I18" s="4" t="s">
        <v>145</v>
      </c>
      <c r="J18" s="4">
        <v>20000</v>
      </c>
    </row>
    <row r="19" spans="1:10">
      <c r="A19" s="4" t="s">
        <v>58</v>
      </c>
      <c r="B19" s="4" t="s">
        <v>59</v>
      </c>
      <c r="C19" s="4" t="s">
        <v>57</v>
      </c>
      <c r="D19" s="4" t="s">
        <v>16</v>
      </c>
      <c r="E19" s="1">
        <v>30716</v>
      </c>
      <c r="F19" s="1">
        <v>44499</v>
      </c>
      <c r="G19" s="5">
        <f t="shared" ca="1" si="0"/>
        <v>38</v>
      </c>
      <c r="H19" s="4" t="s">
        <v>133</v>
      </c>
      <c r="I19" s="4" t="s">
        <v>137</v>
      </c>
      <c r="J19" s="4">
        <v>20000</v>
      </c>
    </row>
    <row r="20" spans="1:10">
      <c r="A20" s="4" t="s">
        <v>61</v>
      </c>
      <c r="B20" s="4" t="s">
        <v>62</v>
      </c>
      <c r="C20" s="4" t="s">
        <v>60</v>
      </c>
      <c r="D20" s="4" t="s">
        <v>13</v>
      </c>
      <c r="E20" s="1">
        <v>28208</v>
      </c>
      <c r="F20" s="1">
        <v>44500</v>
      </c>
      <c r="G20" s="5">
        <f t="shared" ca="1" si="0"/>
        <v>45</v>
      </c>
      <c r="H20" s="4" t="s">
        <v>133</v>
      </c>
      <c r="I20" s="4" t="s">
        <v>139</v>
      </c>
      <c r="J20" s="4">
        <v>31000</v>
      </c>
    </row>
    <row r="21" spans="1:10">
      <c r="A21" s="4" t="s">
        <v>64</v>
      </c>
      <c r="B21" s="4" t="s">
        <v>65</v>
      </c>
      <c r="C21" s="4" t="s">
        <v>63</v>
      </c>
      <c r="D21" s="4" t="s">
        <v>13</v>
      </c>
      <c r="E21" s="1">
        <v>30065</v>
      </c>
      <c r="F21" s="1">
        <v>44501</v>
      </c>
      <c r="G21" s="5">
        <f t="shared" ca="1" si="0"/>
        <v>40</v>
      </c>
      <c r="H21" s="4" t="s">
        <v>144</v>
      </c>
      <c r="I21" s="4" t="s">
        <v>146</v>
      </c>
      <c r="J21" s="4">
        <v>31000</v>
      </c>
    </row>
    <row r="22" spans="1:10">
      <c r="A22" s="4" t="s">
        <v>67</v>
      </c>
      <c r="B22" s="4" t="s">
        <v>32</v>
      </c>
      <c r="C22" s="4" t="s">
        <v>66</v>
      </c>
      <c r="D22" s="4" t="s">
        <v>16</v>
      </c>
      <c r="E22" s="1">
        <v>29640</v>
      </c>
      <c r="F22" s="1">
        <v>44502</v>
      </c>
      <c r="G22" s="5">
        <f t="shared" ca="1" si="0"/>
        <v>41</v>
      </c>
      <c r="H22" s="4" t="s">
        <v>144</v>
      </c>
      <c r="I22" s="4" t="s">
        <v>145</v>
      </c>
      <c r="J22" s="4">
        <v>20000</v>
      </c>
    </row>
    <row r="23" spans="1:10">
      <c r="A23" s="4" t="s">
        <v>68</v>
      </c>
      <c r="B23" s="4" t="s">
        <v>69</v>
      </c>
      <c r="C23" s="4" t="s">
        <v>34</v>
      </c>
      <c r="D23" s="4" t="s">
        <v>16</v>
      </c>
      <c r="E23" s="1">
        <v>27489</v>
      </c>
      <c r="F23" s="1">
        <v>44503</v>
      </c>
      <c r="G23" s="5">
        <f t="shared" ca="1" si="0"/>
        <v>47</v>
      </c>
      <c r="H23" s="4" t="s">
        <v>144</v>
      </c>
      <c r="I23" s="4" t="s">
        <v>146</v>
      </c>
      <c r="J23" s="4">
        <v>20000</v>
      </c>
    </row>
    <row r="24" spans="1:10">
      <c r="A24" s="4" t="s">
        <v>71</v>
      </c>
      <c r="B24" s="4" t="s">
        <v>72</v>
      </c>
      <c r="C24" s="4" t="s">
        <v>70</v>
      </c>
      <c r="D24" s="4" t="s">
        <v>16</v>
      </c>
      <c r="E24" s="1">
        <v>32912</v>
      </c>
      <c r="F24" s="1">
        <v>44504</v>
      </c>
      <c r="G24" s="5">
        <f t="shared" ca="1" si="0"/>
        <v>32</v>
      </c>
      <c r="H24" s="4" t="s">
        <v>148</v>
      </c>
      <c r="I24" s="4" t="s">
        <v>149</v>
      </c>
      <c r="J24" s="4">
        <v>20000</v>
      </c>
    </row>
    <row r="25" spans="1:10">
      <c r="A25" s="4" t="s">
        <v>74</v>
      </c>
      <c r="B25" s="4" t="s">
        <v>75</v>
      </c>
      <c r="C25" s="4" t="s">
        <v>73</v>
      </c>
      <c r="D25" s="4" t="s">
        <v>16</v>
      </c>
      <c r="E25" s="1">
        <v>29576</v>
      </c>
      <c r="F25" s="1">
        <v>44505</v>
      </c>
      <c r="G25" s="5">
        <f t="shared" ca="1" si="0"/>
        <v>42</v>
      </c>
      <c r="H25" s="4" t="s">
        <v>133</v>
      </c>
      <c r="I25" s="4" t="s">
        <v>138</v>
      </c>
      <c r="J25" s="4">
        <v>31000</v>
      </c>
    </row>
    <row r="26" spans="1:10">
      <c r="A26" s="4" t="s">
        <v>77</v>
      </c>
      <c r="B26" s="4" t="s">
        <v>65</v>
      </c>
      <c r="C26" s="4" t="s">
        <v>76</v>
      </c>
      <c r="D26" s="4" t="s">
        <v>13</v>
      </c>
      <c r="E26" s="1">
        <v>28784</v>
      </c>
      <c r="F26" s="1">
        <v>44506</v>
      </c>
      <c r="G26" s="5">
        <f t="shared" ca="1" si="0"/>
        <v>44</v>
      </c>
      <c r="H26" s="4" t="s">
        <v>133</v>
      </c>
      <c r="I26" s="4" t="s">
        <v>139</v>
      </c>
      <c r="J26" s="4">
        <v>100000</v>
      </c>
    </row>
    <row r="27" spans="1:10">
      <c r="A27" s="4" t="s">
        <v>78</v>
      </c>
      <c r="B27" s="4" t="s">
        <v>79</v>
      </c>
      <c r="C27" s="4" t="s">
        <v>41</v>
      </c>
      <c r="D27" s="4" t="s">
        <v>13</v>
      </c>
      <c r="E27" s="1">
        <v>28136</v>
      </c>
      <c r="F27" s="1">
        <v>44507</v>
      </c>
      <c r="G27" s="5">
        <f t="shared" ca="1" si="0"/>
        <v>45</v>
      </c>
      <c r="H27" s="4" t="s">
        <v>148</v>
      </c>
      <c r="I27" s="4" t="s">
        <v>149</v>
      </c>
      <c r="J27" s="4">
        <v>40000</v>
      </c>
    </row>
    <row r="28" spans="1:10">
      <c r="A28" s="4" t="s">
        <v>81</v>
      </c>
      <c r="B28" s="4" t="s">
        <v>32</v>
      </c>
      <c r="C28" s="4" t="s">
        <v>80</v>
      </c>
      <c r="D28" s="4" t="s">
        <v>16</v>
      </c>
      <c r="E28" s="1">
        <v>30702</v>
      </c>
      <c r="F28" s="1">
        <v>44508</v>
      </c>
      <c r="G28" s="5">
        <f t="shared" ca="1" si="0"/>
        <v>38</v>
      </c>
      <c r="H28" s="4" t="s">
        <v>133</v>
      </c>
      <c r="I28" s="4" t="s">
        <v>138</v>
      </c>
      <c r="J28" s="4">
        <v>100000</v>
      </c>
    </row>
    <row r="29" spans="1:10">
      <c r="A29" s="4" t="s">
        <v>83</v>
      </c>
      <c r="B29" s="4" t="s">
        <v>84</v>
      </c>
      <c r="C29" s="4" t="s">
        <v>82</v>
      </c>
      <c r="D29" s="4" t="s">
        <v>16</v>
      </c>
      <c r="E29" s="1">
        <v>28388</v>
      </c>
      <c r="F29" s="1">
        <v>44509</v>
      </c>
      <c r="G29" s="5">
        <f t="shared" ca="1" si="0"/>
        <v>45</v>
      </c>
      <c r="H29" s="4" t="s">
        <v>133</v>
      </c>
      <c r="I29" s="4" t="s">
        <v>139</v>
      </c>
      <c r="J29" s="4">
        <v>20000</v>
      </c>
    </row>
    <row r="30" spans="1:10">
      <c r="A30" s="4" t="s">
        <v>85</v>
      </c>
      <c r="B30" s="4" t="s">
        <v>86</v>
      </c>
      <c r="C30" s="4" t="s">
        <v>73</v>
      </c>
      <c r="D30" s="4" t="s">
        <v>16</v>
      </c>
      <c r="E30" s="1">
        <v>33174</v>
      </c>
      <c r="F30" s="1">
        <v>44510</v>
      </c>
      <c r="G30" s="5">
        <f t="shared" ca="1" si="0"/>
        <v>32</v>
      </c>
      <c r="H30" s="4" t="s">
        <v>133</v>
      </c>
      <c r="I30" s="4" t="s">
        <v>138</v>
      </c>
      <c r="J30" s="4">
        <v>21310</v>
      </c>
    </row>
    <row r="31" spans="1:10">
      <c r="A31" s="4" t="s">
        <v>88</v>
      </c>
      <c r="B31" s="4" t="s">
        <v>89</v>
      </c>
      <c r="C31" s="4" t="s">
        <v>87</v>
      </c>
      <c r="D31" s="4" t="s">
        <v>13</v>
      </c>
      <c r="E31" s="1">
        <v>31904</v>
      </c>
      <c r="F31" s="1">
        <v>44511</v>
      </c>
      <c r="G31" s="5">
        <f t="shared" ca="1" si="0"/>
        <v>35</v>
      </c>
      <c r="H31" s="4" t="s">
        <v>133</v>
      </c>
      <c r="I31" s="4" t="s">
        <v>142</v>
      </c>
      <c r="J31" s="4">
        <v>31000</v>
      </c>
    </row>
    <row r="32" spans="1:10">
      <c r="A32" s="4" t="s">
        <v>47</v>
      </c>
      <c r="B32" s="4" t="s">
        <v>62</v>
      </c>
      <c r="C32" s="4" t="s">
        <v>20</v>
      </c>
      <c r="D32" s="4" t="s">
        <v>13</v>
      </c>
      <c r="E32" s="1">
        <v>29561</v>
      </c>
      <c r="F32" s="1">
        <v>44512</v>
      </c>
      <c r="G32" s="5">
        <f t="shared" ca="1" si="0"/>
        <v>42</v>
      </c>
      <c r="H32" s="4" t="s">
        <v>133</v>
      </c>
      <c r="I32" s="4" t="s">
        <v>138</v>
      </c>
      <c r="J32" s="4">
        <v>100000</v>
      </c>
    </row>
    <row r="33" spans="1:10">
      <c r="A33" s="4" t="s">
        <v>91</v>
      </c>
      <c r="B33" s="4" t="s">
        <v>18</v>
      </c>
      <c r="C33" s="4" t="s">
        <v>90</v>
      </c>
      <c r="D33" s="4" t="s">
        <v>13</v>
      </c>
      <c r="E33" s="1">
        <v>33214</v>
      </c>
      <c r="F33" s="1">
        <v>44513</v>
      </c>
      <c r="G33" s="5">
        <f t="shared" ca="1" si="0"/>
        <v>32</v>
      </c>
      <c r="H33" s="4" t="s">
        <v>144</v>
      </c>
      <c r="I33" s="4" t="s">
        <v>146</v>
      </c>
      <c r="J33" s="4">
        <v>100000</v>
      </c>
    </row>
    <row r="34" spans="1:10">
      <c r="A34" s="4" t="s">
        <v>92</v>
      </c>
      <c r="B34" s="4" t="s">
        <v>93</v>
      </c>
      <c r="C34" s="4" t="s">
        <v>20</v>
      </c>
      <c r="D34" s="4" t="s">
        <v>13</v>
      </c>
      <c r="E34" s="1">
        <v>28186</v>
      </c>
      <c r="F34" s="1">
        <v>44514</v>
      </c>
      <c r="G34" s="5">
        <f t="shared" ca="1" si="0"/>
        <v>45</v>
      </c>
      <c r="H34" s="4" t="s">
        <v>133</v>
      </c>
      <c r="I34" s="4" t="s">
        <v>138</v>
      </c>
      <c r="J34" s="4">
        <v>31000</v>
      </c>
    </row>
    <row r="35" spans="1:10">
      <c r="A35" s="4" t="s">
        <v>94</v>
      </c>
      <c r="B35" s="4" t="s">
        <v>31</v>
      </c>
      <c r="C35" s="4" t="s">
        <v>66</v>
      </c>
      <c r="D35" s="4" t="s">
        <v>16</v>
      </c>
      <c r="E35" s="1">
        <v>29857</v>
      </c>
      <c r="F35" s="1">
        <v>44515</v>
      </c>
      <c r="G35" s="5">
        <f t="shared" ca="1" si="0"/>
        <v>41</v>
      </c>
      <c r="H35" s="4" t="s">
        <v>133</v>
      </c>
      <c r="I35" s="4" t="s">
        <v>137</v>
      </c>
      <c r="J35" s="4">
        <v>31000</v>
      </c>
    </row>
    <row r="36" spans="1:10">
      <c r="A36" s="4" t="s">
        <v>96</v>
      </c>
      <c r="B36" s="4" t="s">
        <v>95</v>
      </c>
      <c r="C36" s="4" t="s">
        <v>97</v>
      </c>
      <c r="D36" s="4" t="s">
        <v>16</v>
      </c>
      <c r="E36" s="1">
        <v>28780</v>
      </c>
      <c r="F36" s="1">
        <v>44516</v>
      </c>
      <c r="G36" s="5">
        <f t="shared" ca="1" si="0"/>
        <v>44</v>
      </c>
      <c r="H36" s="4" t="s">
        <v>133</v>
      </c>
      <c r="I36" s="4" t="s">
        <v>137</v>
      </c>
      <c r="J36" s="4">
        <v>20000</v>
      </c>
    </row>
    <row r="37" spans="1:10">
      <c r="A37" s="4" t="s">
        <v>99</v>
      </c>
      <c r="B37" s="4" t="s">
        <v>98</v>
      </c>
      <c r="C37" s="4" t="s">
        <v>100</v>
      </c>
      <c r="D37" s="4" t="s">
        <v>13</v>
      </c>
      <c r="E37" s="1">
        <v>33678</v>
      </c>
      <c r="F37" s="1">
        <v>44517</v>
      </c>
      <c r="G37" s="5">
        <f t="shared" ca="1" si="0"/>
        <v>30</v>
      </c>
      <c r="H37" s="4" t="s">
        <v>133</v>
      </c>
      <c r="I37" s="4" t="s">
        <v>138</v>
      </c>
      <c r="J37" s="4">
        <v>20000</v>
      </c>
    </row>
    <row r="38" spans="1:10">
      <c r="A38" s="4" t="s">
        <v>102</v>
      </c>
      <c r="B38" s="4" t="s">
        <v>101</v>
      </c>
      <c r="C38" s="4" t="s">
        <v>103</v>
      </c>
      <c r="D38" s="4" t="s">
        <v>13</v>
      </c>
      <c r="E38" s="1">
        <v>30463</v>
      </c>
      <c r="F38" s="1">
        <v>44518</v>
      </c>
      <c r="G38" s="5">
        <f t="shared" ca="1" si="0"/>
        <v>39</v>
      </c>
      <c r="H38" s="4" t="s">
        <v>133</v>
      </c>
      <c r="I38" s="4" t="s">
        <v>139</v>
      </c>
      <c r="J38" s="4">
        <v>20000</v>
      </c>
    </row>
    <row r="39" spans="1:10">
      <c r="A39" s="4" t="s">
        <v>105</v>
      </c>
      <c r="B39" s="4" t="s">
        <v>106</v>
      </c>
      <c r="C39" s="4" t="s">
        <v>104</v>
      </c>
      <c r="D39" s="4" t="s">
        <v>16</v>
      </c>
      <c r="E39" s="1">
        <v>32382</v>
      </c>
      <c r="F39" s="1">
        <v>44519</v>
      </c>
      <c r="G39" s="5">
        <f t="shared" ca="1" si="0"/>
        <v>34</v>
      </c>
      <c r="H39" s="4" t="s">
        <v>148</v>
      </c>
      <c r="I39" s="4" t="s">
        <v>149</v>
      </c>
      <c r="J39" s="4">
        <v>70034</v>
      </c>
    </row>
    <row r="40" spans="1:10">
      <c r="A40" s="4" t="s">
        <v>107</v>
      </c>
      <c r="B40" s="4" t="s">
        <v>108</v>
      </c>
      <c r="C40" s="4" t="s">
        <v>66</v>
      </c>
      <c r="D40" s="4" t="s">
        <v>16</v>
      </c>
      <c r="E40" s="1">
        <v>29547</v>
      </c>
      <c r="F40" s="1">
        <v>44520</v>
      </c>
      <c r="G40" s="5">
        <f t="shared" ca="1" si="0"/>
        <v>42</v>
      </c>
      <c r="H40" s="4" t="s">
        <v>133</v>
      </c>
      <c r="I40" s="4" t="s">
        <v>138</v>
      </c>
      <c r="J40" s="4">
        <v>100000</v>
      </c>
    </row>
    <row r="41" spans="1:10">
      <c r="A41" s="4" t="s">
        <v>109</v>
      </c>
      <c r="B41" s="4" t="s">
        <v>110</v>
      </c>
      <c r="C41" s="4" t="s">
        <v>20</v>
      </c>
      <c r="D41" s="4" t="s">
        <v>13</v>
      </c>
      <c r="E41" s="1">
        <v>28277</v>
      </c>
      <c r="F41" s="1">
        <v>44521</v>
      </c>
      <c r="G41" s="5">
        <f t="shared" ca="1" si="0"/>
        <v>45</v>
      </c>
      <c r="H41" s="4" t="s">
        <v>133</v>
      </c>
      <c r="I41" s="4" t="s">
        <v>137</v>
      </c>
      <c r="J41" s="4">
        <v>80000</v>
      </c>
    </row>
    <row r="42" spans="1:10">
      <c r="A42" s="4" t="s">
        <v>112</v>
      </c>
      <c r="B42" s="4" t="s">
        <v>113</v>
      </c>
      <c r="C42" s="4" t="s">
        <v>111</v>
      </c>
      <c r="D42" s="4" t="s">
        <v>13</v>
      </c>
      <c r="E42" s="1">
        <v>32297</v>
      </c>
      <c r="F42" s="1">
        <v>44522</v>
      </c>
      <c r="G42" s="5">
        <f t="shared" ca="1" si="0"/>
        <v>34</v>
      </c>
      <c r="H42" s="4" t="s">
        <v>133</v>
      </c>
      <c r="I42" s="4" t="s">
        <v>137</v>
      </c>
      <c r="J42" s="4">
        <v>80000</v>
      </c>
    </row>
    <row r="43" spans="1:10">
      <c r="A43" s="4" t="s">
        <v>115</v>
      </c>
      <c r="B43" s="4" t="s">
        <v>116</v>
      </c>
      <c r="C43" s="4" t="s">
        <v>114</v>
      </c>
      <c r="D43" s="4" t="s">
        <v>13</v>
      </c>
      <c r="E43" s="1">
        <v>33771</v>
      </c>
      <c r="F43" s="1">
        <v>44523</v>
      </c>
      <c r="G43" s="5">
        <f t="shared" ca="1" si="0"/>
        <v>30</v>
      </c>
      <c r="H43" s="4" t="s">
        <v>144</v>
      </c>
      <c r="I43" s="4" t="s">
        <v>145</v>
      </c>
      <c r="J43" s="4">
        <v>70034</v>
      </c>
    </row>
    <row r="44" spans="1:10">
      <c r="A44" s="4" t="s">
        <v>117</v>
      </c>
      <c r="B44" s="4" t="s">
        <v>118</v>
      </c>
      <c r="C44" s="4" t="s">
        <v>76</v>
      </c>
      <c r="D44" s="4" t="s">
        <v>13</v>
      </c>
      <c r="E44" s="1">
        <v>29038</v>
      </c>
      <c r="F44" s="1">
        <v>44524</v>
      </c>
      <c r="G44" s="5">
        <f t="shared" ca="1" si="0"/>
        <v>43</v>
      </c>
      <c r="H44" s="4" t="s">
        <v>133</v>
      </c>
      <c r="I44" s="4" t="s">
        <v>138</v>
      </c>
      <c r="J44" s="4">
        <v>100000</v>
      </c>
    </row>
    <row r="45" spans="1:10">
      <c r="A45" s="4" t="s">
        <v>120</v>
      </c>
      <c r="B45" s="4" t="s">
        <v>121</v>
      </c>
      <c r="C45" s="4" t="s">
        <v>119</v>
      </c>
      <c r="D45" s="4" t="s">
        <v>13</v>
      </c>
      <c r="E45" s="1">
        <v>27732</v>
      </c>
      <c r="F45" s="1">
        <v>44525</v>
      </c>
      <c r="G45" s="5">
        <f t="shared" ca="1" si="0"/>
        <v>47</v>
      </c>
      <c r="H45" s="4" t="s">
        <v>133</v>
      </c>
      <c r="I45" s="4" t="s">
        <v>137</v>
      </c>
      <c r="J45" s="4">
        <v>100000</v>
      </c>
    </row>
    <row r="46" spans="1:10">
      <c r="A46" s="4" t="s">
        <v>122</v>
      </c>
      <c r="B46" s="4" t="s">
        <v>123</v>
      </c>
      <c r="C46" s="4" t="s">
        <v>57</v>
      </c>
      <c r="D46" s="4" t="s">
        <v>16</v>
      </c>
      <c r="E46" s="1">
        <v>29808</v>
      </c>
      <c r="F46" s="1">
        <v>44526</v>
      </c>
      <c r="G46" s="5">
        <f t="shared" ca="1" si="0"/>
        <v>41</v>
      </c>
      <c r="H46" s="4" t="s">
        <v>133</v>
      </c>
      <c r="I46" s="4" t="s">
        <v>139</v>
      </c>
      <c r="J46" s="4">
        <v>100000</v>
      </c>
    </row>
    <row r="47" spans="1:10">
      <c r="A47" s="4" t="s">
        <v>125</v>
      </c>
      <c r="B47" s="4" t="s">
        <v>126</v>
      </c>
      <c r="C47" s="4" t="s">
        <v>124</v>
      </c>
      <c r="D47" s="4" t="s">
        <v>13</v>
      </c>
      <c r="E47" s="1">
        <v>29109</v>
      </c>
      <c r="F47" s="1">
        <v>44527</v>
      </c>
      <c r="G47" s="5">
        <f t="shared" ca="1" si="0"/>
        <v>43</v>
      </c>
      <c r="H47" s="4" t="s">
        <v>133</v>
      </c>
      <c r="I47" s="4" t="s">
        <v>137</v>
      </c>
      <c r="J47" s="4">
        <v>211000</v>
      </c>
    </row>
    <row r="48" spans="1:10">
      <c r="A48" s="4" t="s">
        <v>127</v>
      </c>
      <c r="B48" s="4" t="s">
        <v>25</v>
      </c>
      <c r="C48" s="4" t="s">
        <v>90</v>
      </c>
      <c r="D48" s="4" t="s">
        <v>13</v>
      </c>
      <c r="E48" s="1">
        <v>30009</v>
      </c>
      <c r="F48" s="1">
        <v>44528</v>
      </c>
      <c r="G48" s="5">
        <f t="shared" ca="1" si="0"/>
        <v>40</v>
      </c>
      <c r="H48" s="4" t="s">
        <v>144</v>
      </c>
      <c r="I48" s="4" t="s">
        <v>146</v>
      </c>
      <c r="J48" s="4">
        <v>70034</v>
      </c>
    </row>
    <row r="49" spans="1:10">
      <c r="A49" s="4" t="s">
        <v>129</v>
      </c>
      <c r="B49" s="4" t="s">
        <v>121</v>
      </c>
      <c r="C49" s="4" t="s">
        <v>128</v>
      </c>
      <c r="D49" s="4" t="s">
        <v>13</v>
      </c>
      <c r="E49" s="1">
        <v>32293</v>
      </c>
      <c r="F49" s="1">
        <v>44529</v>
      </c>
      <c r="G49" s="5">
        <f t="shared" ca="1" si="0"/>
        <v>34</v>
      </c>
      <c r="H49" s="4" t="s">
        <v>148</v>
      </c>
      <c r="I49" s="4" t="s">
        <v>149</v>
      </c>
      <c r="J49" s="4">
        <v>40000</v>
      </c>
    </row>
    <row r="50" spans="1:10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t="shared" ca="1" si="0"/>
        <v>37</v>
      </c>
      <c r="H50" s="4" t="s">
        <v>133</v>
      </c>
      <c r="I50" s="4" t="s">
        <v>143</v>
      </c>
      <c r="J50" s="4">
        <v>21310</v>
      </c>
    </row>
  </sheetData>
  <dataValidations count="1">
    <dataValidation type="list" allowBlank="1" showInputMessage="1" showErrorMessage="1" sqref="D1:D50 Q1">
      <formula1>"М, Ж"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selection activeCell="H1" sqref="H1"/>
    </sheetView>
  </sheetViews>
  <sheetFormatPr defaultRowHeight="15"/>
  <cols>
    <col min="1" max="1" width="19.85546875" customWidth="1"/>
    <col min="2" max="2" width="17.42578125" customWidth="1"/>
    <col min="3" max="3" width="21.7109375" customWidth="1"/>
    <col min="4" max="4" width="8.5703125" customWidth="1"/>
    <col min="5" max="5" width="10.85546875" customWidth="1"/>
    <col min="6" max="6" width="10.42578125" customWidth="1"/>
    <col min="8" max="8" width="16.140625" customWidth="1"/>
    <col min="9" max="9" width="34.85546875" customWidth="1"/>
  </cols>
  <sheetData>
    <row r="1" spans="1:13">
      <c r="A1" s="4" t="s">
        <v>9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M1" s="4" t="s">
        <v>133</v>
      </c>
    </row>
    <row r="2" spans="1:13">
      <c r="A2" s="4" t="s">
        <v>10</v>
      </c>
      <c r="B2" s="4" t="s">
        <v>11</v>
      </c>
      <c r="C2" s="4" t="s">
        <v>12</v>
      </c>
      <c r="D2" s="4" t="s">
        <v>13</v>
      </c>
      <c r="E2" s="1">
        <v>30722</v>
      </c>
      <c r="F2" s="1">
        <v>44482</v>
      </c>
      <c r="G2" s="5">
        <f ca="1">INT(YEAR(TODAY()))-INT(YEAR(E2))</f>
        <v>38</v>
      </c>
      <c r="H2" s="4" t="s">
        <v>133</v>
      </c>
      <c r="I2" s="4" t="s">
        <v>141</v>
      </c>
      <c r="J2" s="4">
        <v>20000</v>
      </c>
      <c r="M2" s="4" t="s">
        <v>148</v>
      </c>
    </row>
    <row r="3" spans="1:13">
      <c r="A3" s="4" t="s">
        <v>150</v>
      </c>
      <c r="B3" s="4" t="s">
        <v>14</v>
      </c>
      <c r="C3" s="4" t="s">
        <v>15</v>
      </c>
      <c r="D3" s="4" t="s">
        <v>16</v>
      </c>
      <c r="E3" s="2">
        <v>33057</v>
      </c>
      <c r="F3" s="1">
        <v>44483</v>
      </c>
      <c r="G3" s="5">
        <f ca="1">INT(YEAR(TODAY()))-INT(YEAR(E3))</f>
        <v>32</v>
      </c>
      <c r="H3" s="4" t="s">
        <v>133</v>
      </c>
      <c r="I3" s="4" t="s">
        <v>139</v>
      </c>
      <c r="J3" s="4">
        <v>20000</v>
      </c>
      <c r="M3" s="4" t="s">
        <v>144</v>
      </c>
    </row>
    <row r="4" spans="1:13">
      <c r="A4" s="4" t="s">
        <v>17</v>
      </c>
      <c r="B4" s="4" t="s">
        <v>18</v>
      </c>
      <c r="C4" s="4" t="s">
        <v>19</v>
      </c>
      <c r="D4" s="4" t="s">
        <v>13</v>
      </c>
      <c r="E4" s="1">
        <v>31518</v>
      </c>
      <c r="F4" s="1">
        <v>44484</v>
      </c>
      <c r="G4" s="5">
        <f ca="1">INT(YEAR(TODAY()))-INT(YEAR(E4))</f>
        <v>36</v>
      </c>
      <c r="H4" s="4" t="s">
        <v>133</v>
      </c>
      <c r="I4" s="4" t="s">
        <v>140</v>
      </c>
      <c r="J4" s="4">
        <v>20000</v>
      </c>
      <c r="M4" s="4"/>
    </row>
    <row r="5" spans="1:13">
      <c r="A5" s="4" t="s">
        <v>21</v>
      </c>
      <c r="B5" s="4" t="s">
        <v>22</v>
      </c>
      <c r="C5" s="4" t="s">
        <v>20</v>
      </c>
      <c r="D5" s="4" t="s">
        <v>13</v>
      </c>
      <c r="E5" s="1">
        <v>31434</v>
      </c>
      <c r="F5" s="1">
        <v>44485</v>
      </c>
      <c r="G5" s="5">
        <f ca="1">INT(YEAR(TODAY()))-INT(YEAR(E5))</f>
        <v>36</v>
      </c>
      <c r="H5" s="4" t="s">
        <v>144</v>
      </c>
      <c r="I5" s="4" t="s">
        <v>145</v>
      </c>
      <c r="J5" s="4">
        <v>70034</v>
      </c>
      <c r="M5" s="4"/>
    </row>
    <row r="6" spans="1:13">
      <c r="A6" s="4" t="s">
        <v>24</v>
      </c>
      <c r="B6" s="4" t="s">
        <v>25</v>
      </c>
      <c r="C6" s="4" t="s">
        <v>23</v>
      </c>
      <c r="D6" s="4" t="s">
        <v>13</v>
      </c>
      <c r="E6" s="1">
        <v>33806</v>
      </c>
      <c r="F6" s="1">
        <v>44486</v>
      </c>
      <c r="G6" s="5">
        <f ca="1">INT(YEAR(TODAY()))-INT(YEAR(E6))</f>
        <v>30</v>
      </c>
      <c r="H6" s="4" t="s">
        <v>133</v>
      </c>
      <c r="I6" s="4" t="s">
        <v>137</v>
      </c>
      <c r="J6" s="4">
        <v>70034</v>
      </c>
      <c r="M6" s="4"/>
    </row>
    <row r="7" spans="1:13">
      <c r="A7" s="4" t="s">
        <v>150</v>
      </c>
      <c r="B7" s="4" t="s">
        <v>26</v>
      </c>
      <c r="C7" s="4" t="s">
        <v>27</v>
      </c>
      <c r="D7" s="4" t="s">
        <v>16</v>
      </c>
      <c r="E7" s="1">
        <v>31216</v>
      </c>
      <c r="F7" s="1">
        <v>44487</v>
      </c>
      <c r="G7" s="5">
        <f ca="1">INT(YEAR(TODAY()))-INT(YEAR(E7))</f>
        <v>37</v>
      </c>
      <c r="H7" s="4" t="s">
        <v>144</v>
      </c>
      <c r="I7" s="4" t="s">
        <v>147</v>
      </c>
      <c r="J7" s="4">
        <v>20000</v>
      </c>
      <c r="M7" s="4"/>
    </row>
    <row r="8" spans="1:13">
      <c r="A8" s="4" t="s">
        <v>30</v>
      </c>
      <c r="B8" s="4" t="s">
        <v>28</v>
      </c>
      <c r="C8" s="4" t="s">
        <v>29</v>
      </c>
      <c r="D8" s="4" t="s">
        <v>16</v>
      </c>
      <c r="E8" s="1">
        <v>33856</v>
      </c>
      <c r="F8" s="1">
        <v>44488</v>
      </c>
      <c r="G8" s="5">
        <f ca="1">INT(YEAR(TODAY()))-INT(YEAR(E8))</f>
        <v>30</v>
      </c>
      <c r="H8" s="4" t="s">
        <v>144</v>
      </c>
      <c r="I8" s="4" t="s">
        <v>147</v>
      </c>
      <c r="J8" s="4">
        <v>70034</v>
      </c>
      <c r="M8" s="4"/>
    </row>
    <row r="9" spans="1:13">
      <c r="A9" s="4" t="s">
        <v>134</v>
      </c>
      <c r="B9" s="4" t="s">
        <v>135</v>
      </c>
      <c r="C9" s="4" t="s">
        <v>136</v>
      </c>
      <c r="D9" s="4" t="s">
        <v>16</v>
      </c>
      <c r="E9" s="1">
        <v>30198</v>
      </c>
      <c r="F9" s="1">
        <v>44489</v>
      </c>
      <c r="G9" s="5">
        <f ca="1">INT(YEAR(TODAY()))-INT(YEAR(E9))</f>
        <v>40</v>
      </c>
      <c r="H9" s="4" t="s">
        <v>133</v>
      </c>
      <c r="I9" s="4" t="s">
        <v>140</v>
      </c>
      <c r="J9" s="4">
        <v>21310</v>
      </c>
      <c r="M9" s="4"/>
    </row>
    <row r="10" spans="1:13">
      <c r="A10" s="4" t="s">
        <v>33</v>
      </c>
      <c r="B10" s="4" t="s">
        <v>32</v>
      </c>
      <c r="C10" s="4" t="s">
        <v>34</v>
      </c>
      <c r="D10" s="4" t="s">
        <v>16</v>
      </c>
      <c r="E10" s="1">
        <v>31887</v>
      </c>
      <c r="F10" s="1">
        <v>44490</v>
      </c>
      <c r="G10" s="5">
        <f ca="1">INT(YEAR(TODAY()))-INT(YEAR(E10))</f>
        <v>35</v>
      </c>
      <c r="H10" s="4" t="s">
        <v>133</v>
      </c>
      <c r="I10" s="4" t="s">
        <v>137</v>
      </c>
      <c r="J10" s="4">
        <v>70034</v>
      </c>
      <c r="M10" s="4"/>
    </row>
    <row r="11" spans="1:13">
      <c r="A11" s="4" t="s">
        <v>37</v>
      </c>
      <c r="B11" s="4" t="s">
        <v>36</v>
      </c>
      <c r="C11" s="4" t="s">
        <v>35</v>
      </c>
      <c r="D11" s="4" t="s">
        <v>16</v>
      </c>
      <c r="E11" s="1">
        <v>28013</v>
      </c>
      <c r="F11" s="1">
        <v>44491</v>
      </c>
      <c r="G11" s="5">
        <f ca="1">INT(YEAR(TODAY()))-INT(YEAR(E11))</f>
        <v>46</v>
      </c>
      <c r="H11" s="4" t="s">
        <v>148</v>
      </c>
      <c r="I11" s="4" t="s">
        <v>149</v>
      </c>
      <c r="J11" s="4">
        <v>70034</v>
      </c>
      <c r="M11" s="4"/>
    </row>
    <row r="12" spans="1:13">
      <c r="A12" s="4" t="s">
        <v>40</v>
      </c>
      <c r="B12" s="4" t="s">
        <v>39</v>
      </c>
      <c r="C12" s="4" t="s">
        <v>38</v>
      </c>
      <c r="D12" s="4" t="s">
        <v>13</v>
      </c>
      <c r="E12" s="1">
        <v>32646</v>
      </c>
      <c r="F12" s="1">
        <v>44492</v>
      </c>
      <c r="G12" s="5">
        <f ca="1">INT(YEAR(TODAY()))-INT(YEAR(E12))</f>
        <v>33</v>
      </c>
      <c r="H12" s="4" t="s">
        <v>133</v>
      </c>
      <c r="I12" s="4" t="s">
        <v>140</v>
      </c>
      <c r="J12" s="4">
        <v>100000</v>
      </c>
      <c r="M12" s="4"/>
    </row>
    <row r="13" spans="1:13">
      <c r="A13" s="4" t="s">
        <v>43</v>
      </c>
      <c r="B13" s="4" t="s">
        <v>42</v>
      </c>
      <c r="C13" s="4" t="s">
        <v>41</v>
      </c>
      <c r="D13" s="4" t="s">
        <v>13</v>
      </c>
      <c r="E13" s="1">
        <v>29013</v>
      </c>
      <c r="F13" s="1">
        <v>44493</v>
      </c>
      <c r="G13" s="5">
        <f ca="1">INT(YEAR(TODAY()))-INT(YEAR(E13))</f>
        <v>43</v>
      </c>
      <c r="H13" s="4" t="s">
        <v>148</v>
      </c>
      <c r="I13" s="4" t="s">
        <v>149</v>
      </c>
      <c r="J13" s="4">
        <v>70034</v>
      </c>
      <c r="M13" s="4"/>
    </row>
    <row r="14" spans="1:13">
      <c r="A14" s="4" t="s">
        <v>151</v>
      </c>
      <c r="B14" s="4" t="s">
        <v>45</v>
      </c>
      <c r="C14" s="4" t="s">
        <v>44</v>
      </c>
      <c r="D14" s="4" t="s">
        <v>13</v>
      </c>
      <c r="E14" s="1">
        <v>27847</v>
      </c>
      <c r="F14" s="1">
        <v>44494</v>
      </c>
      <c r="G14" s="5">
        <f ca="1">INT(YEAR(TODAY()))-INT(YEAR(E14))</f>
        <v>46</v>
      </c>
      <c r="H14" s="4" t="s">
        <v>133</v>
      </c>
      <c r="I14" s="4" t="s">
        <v>137</v>
      </c>
      <c r="J14" s="4">
        <v>100000</v>
      </c>
      <c r="M14" s="4"/>
    </row>
    <row r="15" spans="1:13">
      <c r="A15" s="4" t="s">
        <v>47</v>
      </c>
      <c r="B15" s="4" t="s">
        <v>48</v>
      </c>
      <c r="C15" s="4" t="s">
        <v>46</v>
      </c>
      <c r="D15" s="4" t="s">
        <v>13</v>
      </c>
      <c r="E15" s="1">
        <v>33082</v>
      </c>
      <c r="F15" s="1">
        <v>44495</v>
      </c>
      <c r="G15" s="5">
        <f ca="1">INT(YEAR(TODAY()))-INT(YEAR(E15))</f>
        <v>32</v>
      </c>
      <c r="H15" s="4" t="s">
        <v>133</v>
      </c>
      <c r="I15" s="4" t="s">
        <v>140</v>
      </c>
      <c r="J15" s="4">
        <v>31000</v>
      </c>
      <c r="M15" s="4"/>
    </row>
    <row r="16" spans="1:13">
      <c r="A16" s="4" t="s">
        <v>50</v>
      </c>
      <c r="B16" s="4" t="s">
        <v>51</v>
      </c>
      <c r="C16" s="4" t="s">
        <v>49</v>
      </c>
      <c r="D16" s="4" t="s">
        <v>13</v>
      </c>
      <c r="E16" s="1">
        <v>28967</v>
      </c>
      <c r="F16" s="1">
        <v>44496</v>
      </c>
      <c r="G16" s="5">
        <f ca="1">INT(YEAR(TODAY()))-INT(YEAR(E16))</f>
        <v>43</v>
      </c>
      <c r="H16" s="4" t="s">
        <v>133</v>
      </c>
      <c r="I16" s="4" t="s">
        <v>137</v>
      </c>
      <c r="J16" s="4">
        <v>100000</v>
      </c>
      <c r="M16" s="4"/>
    </row>
    <row r="17" spans="1:13">
      <c r="A17" s="4" t="s">
        <v>53</v>
      </c>
      <c r="B17" s="4" t="s">
        <v>14</v>
      </c>
      <c r="C17" s="4" t="s">
        <v>52</v>
      </c>
      <c r="D17" s="4" t="s">
        <v>16</v>
      </c>
      <c r="E17" s="1">
        <v>30813</v>
      </c>
      <c r="F17" s="1">
        <v>44497</v>
      </c>
      <c r="G17" s="5">
        <f ca="1">INT(YEAR(TODAY()))-INT(YEAR(E17))</f>
        <v>38</v>
      </c>
      <c r="H17" s="4" t="s">
        <v>133</v>
      </c>
      <c r="I17" s="4" t="s">
        <v>139</v>
      </c>
      <c r="J17" s="4">
        <v>20000</v>
      </c>
      <c r="M17" s="4"/>
    </row>
    <row r="18" spans="1:13">
      <c r="A18" s="4" t="s">
        <v>55</v>
      </c>
      <c r="B18" s="4" t="s">
        <v>56</v>
      </c>
      <c r="C18" s="4" t="s">
        <v>54</v>
      </c>
      <c r="D18" s="4" t="s">
        <v>13</v>
      </c>
      <c r="E18" s="1">
        <v>31684</v>
      </c>
      <c r="F18" s="1">
        <v>44498</v>
      </c>
      <c r="G18" s="5">
        <f ca="1">INT(YEAR(TODAY()))-INT(YEAR(E18))</f>
        <v>36</v>
      </c>
      <c r="H18" s="4" t="s">
        <v>144</v>
      </c>
      <c r="I18" s="4" t="s">
        <v>145</v>
      </c>
      <c r="J18" s="4">
        <v>20000</v>
      </c>
      <c r="M18" s="4"/>
    </row>
    <row r="19" spans="1:13">
      <c r="A19" s="4" t="s">
        <v>58</v>
      </c>
      <c r="B19" s="4" t="s">
        <v>59</v>
      </c>
      <c r="C19" s="4" t="s">
        <v>57</v>
      </c>
      <c r="D19" s="4" t="s">
        <v>16</v>
      </c>
      <c r="E19" s="1">
        <v>30716</v>
      </c>
      <c r="F19" s="1">
        <v>44499</v>
      </c>
      <c r="G19" s="5">
        <f ca="1">INT(YEAR(TODAY()))-INT(YEAR(E19))</f>
        <v>38</v>
      </c>
      <c r="H19" s="4" t="s">
        <v>133</v>
      </c>
      <c r="I19" s="4" t="s">
        <v>137</v>
      </c>
      <c r="J19" s="4">
        <v>20000</v>
      </c>
      <c r="M19" s="4"/>
    </row>
    <row r="20" spans="1:13">
      <c r="A20" s="4" t="s">
        <v>61</v>
      </c>
      <c r="B20" s="4" t="s">
        <v>62</v>
      </c>
      <c r="C20" s="4" t="s">
        <v>60</v>
      </c>
      <c r="D20" s="4" t="s">
        <v>13</v>
      </c>
      <c r="E20" s="1">
        <v>28208</v>
      </c>
      <c r="F20" s="1">
        <v>44500</v>
      </c>
      <c r="G20" s="5">
        <f ca="1">INT(YEAR(TODAY()))-INT(YEAR(E20))</f>
        <v>45</v>
      </c>
      <c r="H20" s="4" t="s">
        <v>133</v>
      </c>
      <c r="I20" s="4" t="s">
        <v>139</v>
      </c>
      <c r="J20" s="4">
        <v>31000</v>
      </c>
      <c r="M20" s="4"/>
    </row>
    <row r="21" spans="1:13">
      <c r="A21" s="4" t="s">
        <v>64</v>
      </c>
      <c r="B21" s="4" t="s">
        <v>65</v>
      </c>
      <c r="C21" s="4" t="s">
        <v>63</v>
      </c>
      <c r="D21" s="4" t="s">
        <v>13</v>
      </c>
      <c r="E21" s="1">
        <v>30065</v>
      </c>
      <c r="F21" s="1">
        <v>44501</v>
      </c>
      <c r="G21" s="5">
        <f ca="1">INT(YEAR(TODAY()))-INT(YEAR(E21))</f>
        <v>40</v>
      </c>
      <c r="H21" s="4" t="s">
        <v>144</v>
      </c>
      <c r="I21" s="4" t="s">
        <v>146</v>
      </c>
      <c r="J21" s="4">
        <v>31000</v>
      </c>
      <c r="M21" s="4"/>
    </row>
    <row r="22" spans="1:13">
      <c r="A22" s="4" t="s">
        <v>67</v>
      </c>
      <c r="B22" s="4" t="s">
        <v>32</v>
      </c>
      <c r="C22" s="4" t="s">
        <v>66</v>
      </c>
      <c r="D22" s="4" t="s">
        <v>16</v>
      </c>
      <c r="E22" s="1">
        <v>29640</v>
      </c>
      <c r="F22" s="1">
        <v>44502</v>
      </c>
      <c r="G22" s="5">
        <f ca="1">INT(YEAR(TODAY()))-INT(YEAR(E22))</f>
        <v>41</v>
      </c>
      <c r="H22" s="4" t="s">
        <v>144</v>
      </c>
      <c r="I22" s="4" t="s">
        <v>145</v>
      </c>
      <c r="J22" s="4">
        <v>20000</v>
      </c>
      <c r="M22" s="4"/>
    </row>
    <row r="23" spans="1:13">
      <c r="A23" s="4" t="s">
        <v>68</v>
      </c>
      <c r="B23" s="4" t="s">
        <v>69</v>
      </c>
      <c r="C23" s="4" t="s">
        <v>34</v>
      </c>
      <c r="D23" s="4" t="s">
        <v>16</v>
      </c>
      <c r="E23" s="1">
        <v>27489</v>
      </c>
      <c r="F23" s="1">
        <v>44503</v>
      </c>
      <c r="G23" s="5">
        <f ca="1">INT(YEAR(TODAY()))-INT(YEAR(E23))</f>
        <v>47</v>
      </c>
      <c r="H23" s="4" t="s">
        <v>144</v>
      </c>
      <c r="I23" s="4" t="s">
        <v>146</v>
      </c>
      <c r="J23" s="4">
        <v>20000</v>
      </c>
      <c r="M23" s="4"/>
    </row>
    <row r="24" spans="1:13">
      <c r="A24" s="4" t="s">
        <v>71</v>
      </c>
      <c r="B24" s="4" t="s">
        <v>72</v>
      </c>
      <c r="C24" s="4" t="s">
        <v>70</v>
      </c>
      <c r="D24" s="4" t="s">
        <v>16</v>
      </c>
      <c r="E24" s="1">
        <v>32912</v>
      </c>
      <c r="F24" s="1">
        <v>44504</v>
      </c>
      <c r="G24" s="5">
        <f ca="1">INT(YEAR(TODAY()))-INT(YEAR(E24))</f>
        <v>32</v>
      </c>
      <c r="H24" s="4" t="s">
        <v>148</v>
      </c>
      <c r="I24" s="4" t="s">
        <v>149</v>
      </c>
      <c r="J24" s="4">
        <v>20000</v>
      </c>
      <c r="M24" s="4"/>
    </row>
    <row r="25" spans="1:13">
      <c r="A25" s="4" t="s">
        <v>74</v>
      </c>
      <c r="B25" s="4" t="s">
        <v>75</v>
      </c>
      <c r="C25" s="4" t="s">
        <v>73</v>
      </c>
      <c r="D25" s="4" t="s">
        <v>16</v>
      </c>
      <c r="E25" s="1">
        <v>29576</v>
      </c>
      <c r="F25" s="1">
        <v>44505</v>
      </c>
      <c r="G25" s="5">
        <f ca="1">INT(YEAR(TODAY()))-INT(YEAR(E25))</f>
        <v>42</v>
      </c>
      <c r="H25" s="4" t="s">
        <v>133</v>
      </c>
      <c r="I25" s="4" t="s">
        <v>138</v>
      </c>
      <c r="J25" s="4">
        <v>31000</v>
      </c>
      <c r="M25" s="4"/>
    </row>
    <row r="26" spans="1:13">
      <c r="A26" s="4" t="s">
        <v>77</v>
      </c>
      <c r="B26" s="4" t="s">
        <v>65</v>
      </c>
      <c r="C26" s="4" t="s">
        <v>76</v>
      </c>
      <c r="D26" s="4" t="s">
        <v>13</v>
      </c>
      <c r="E26" s="1">
        <v>28784</v>
      </c>
      <c r="F26" s="1">
        <v>44506</v>
      </c>
      <c r="G26" s="5">
        <f ca="1">INT(YEAR(TODAY()))-INT(YEAR(E26))</f>
        <v>44</v>
      </c>
      <c r="H26" s="4" t="s">
        <v>133</v>
      </c>
      <c r="I26" s="4" t="s">
        <v>139</v>
      </c>
      <c r="J26" s="4">
        <v>100000</v>
      </c>
      <c r="M26" s="4"/>
    </row>
    <row r="27" spans="1:13">
      <c r="A27" s="4" t="s">
        <v>78</v>
      </c>
      <c r="B27" s="4" t="s">
        <v>79</v>
      </c>
      <c r="C27" s="4" t="s">
        <v>41</v>
      </c>
      <c r="D27" s="4" t="s">
        <v>13</v>
      </c>
      <c r="E27" s="1">
        <v>28136</v>
      </c>
      <c r="F27" s="1">
        <v>44507</v>
      </c>
      <c r="G27" s="5">
        <f ca="1">INT(YEAR(TODAY()))-INT(YEAR(E27))</f>
        <v>45</v>
      </c>
      <c r="H27" s="4" t="s">
        <v>148</v>
      </c>
      <c r="I27" s="4" t="s">
        <v>149</v>
      </c>
      <c r="J27" s="4">
        <v>40000</v>
      </c>
      <c r="M27" s="4"/>
    </row>
    <row r="28" spans="1:13">
      <c r="A28" s="4" t="s">
        <v>81</v>
      </c>
      <c r="B28" s="4" t="s">
        <v>32</v>
      </c>
      <c r="C28" s="4" t="s">
        <v>80</v>
      </c>
      <c r="D28" s="4" t="s">
        <v>16</v>
      </c>
      <c r="E28" s="1">
        <v>30702</v>
      </c>
      <c r="F28" s="1">
        <v>44508</v>
      </c>
      <c r="G28" s="5">
        <f ca="1">INT(YEAR(TODAY()))-INT(YEAR(E28))</f>
        <v>38</v>
      </c>
      <c r="H28" s="4" t="s">
        <v>133</v>
      </c>
      <c r="I28" s="4" t="s">
        <v>138</v>
      </c>
      <c r="J28" s="4">
        <v>100000</v>
      </c>
      <c r="M28" s="4"/>
    </row>
    <row r="29" spans="1:13">
      <c r="A29" s="4" t="s">
        <v>83</v>
      </c>
      <c r="B29" s="4" t="s">
        <v>84</v>
      </c>
      <c r="C29" s="4" t="s">
        <v>82</v>
      </c>
      <c r="D29" s="4" t="s">
        <v>16</v>
      </c>
      <c r="E29" s="1">
        <v>28388</v>
      </c>
      <c r="F29" s="1">
        <v>44509</v>
      </c>
      <c r="G29" s="5">
        <f ca="1">INT(YEAR(TODAY()))-INT(YEAR(E29))</f>
        <v>45</v>
      </c>
      <c r="H29" s="4" t="s">
        <v>133</v>
      </c>
      <c r="I29" s="4" t="s">
        <v>139</v>
      </c>
      <c r="J29" s="4">
        <v>20000</v>
      </c>
      <c r="M29" s="4"/>
    </row>
    <row r="30" spans="1:13">
      <c r="A30" s="4" t="s">
        <v>85</v>
      </c>
      <c r="B30" s="4" t="s">
        <v>86</v>
      </c>
      <c r="C30" s="4" t="s">
        <v>73</v>
      </c>
      <c r="D30" s="4" t="s">
        <v>16</v>
      </c>
      <c r="E30" s="1">
        <v>33174</v>
      </c>
      <c r="F30" s="1">
        <v>44510</v>
      </c>
      <c r="G30" s="5">
        <f ca="1">INT(YEAR(TODAY()))-INT(YEAR(E30))</f>
        <v>32</v>
      </c>
      <c r="H30" s="4" t="s">
        <v>133</v>
      </c>
      <c r="I30" s="4" t="s">
        <v>138</v>
      </c>
      <c r="J30" s="4">
        <v>21310</v>
      </c>
      <c r="M30" s="4"/>
    </row>
    <row r="31" spans="1:13">
      <c r="A31" s="4" t="s">
        <v>88</v>
      </c>
      <c r="B31" s="4" t="s">
        <v>89</v>
      </c>
      <c r="C31" s="4" t="s">
        <v>87</v>
      </c>
      <c r="D31" s="4" t="s">
        <v>13</v>
      </c>
      <c r="E31" s="1">
        <v>31904</v>
      </c>
      <c r="F31" s="1">
        <v>44511</v>
      </c>
      <c r="G31" s="5">
        <f ca="1">INT(YEAR(TODAY()))-INT(YEAR(E31))</f>
        <v>35</v>
      </c>
      <c r="H31" s="4" t="s">
        <v>133</v>
      </c>
      <c r="I31" s="4" t="s">
        <v>142</v>
      </c>
      <c r="J31" s="4">
        <v>31000</v>
      </c>
      <c r="M31" s="4"/>
    </row>
    <row r="32" spans="1:13">
      <c r="A32" s="4" t="s">
        <v>47</v>
      </c>
      <c r="B32" s="4" t="s">
        <v>62</v>
      </c>
      <c r="C32" s="4" t="s">
        <v>20</v>
      </c>
      <c r="D32" s="4" t="s">
        <v>13</v>
      </c>
      <c r="E32" s="1">
        <v>29561</v>
      </c>
      <c r="F32" s="1">
        <v>44512</v>
      </c>
      <c r="G32" s="5">
        <f ca="1">INT(YEAR(TODAY()))-INT(YEAR(E32))</f>
        <v>42</v>
      </c>
      <c r="H32" s="4" t="s">
        <v>133</v>
      </c>
      <c r="I32" s="4" t="s">
        <v>138</v>
      </c>
      <c r="J32" s="4">
        <v>100000</v>
      </c>
      <c r="M32" s="4"/>
    </row>
    <row r="33" spans="1:13">
      <c r="A33" s="4" t="s">
        <v>91</v>
      </c>
      <c r="B33" s="4" t="s">
        <v>18</v>
      </c>
      <c r="C33" s="4" t="s">
        <v>90</v>
      </c>
      <c r="D33" s="4" t="s">
        <v>13</v>
      </c>
      <c r="E33" s="1">
        <v>33214</v>
      </c>
      <c r="F33" s="1">
        <v>44513</v>
      </c>
      <c r="G33" s="5">
        <f ca="1">INT(YEAR(TODAY()))-INT(YEAR(E33))</f>
        <v>32</v>
      </c>
      <c r="H33" s="4" t="s">
        <v>144</v>
      </c>
      <c r="I33" s="4" t="s">
        <v>146</v>
      </c>
      <c r="J33" s="4">
        <v>100000</v>
      </c>
      <c r="M33" s="4"/>
    </row>
    <row r="34" spans="1:13">
      <c r="A34" s="4" t="s">
        <v>92</v>
      </c>
      <c r="B34" s="4" t="s">
        <v>93</v>
      </c>
      <c r="C34" s="4" t="s">
        <v>20</v>
      </c>
      <c r="D34" s="4" t="s">
        <v>13</v>
      </c>
      <c r="E34" s="1">
        <v>28186</v>
      </c>
      <c r="F34" s="1">
        <v>44514</v>
      </c>
      <c r="G34" s="5">
        <f ca="1">INT(YEAR(TODAY()))-INT(YEAR(E34))</f>
        <v>45</v>
      </c>
      <c r="H34" s="4" t="s">
        <v>133</v>
      </c>
      <c r="I34" s="4" t="s">
        <v>138</v>
      </c>
      <c r="J34" s="4">
        <v>31000</v>
      </c>
      <c r="M34" s="4"/>
    </row>
    <row r="35" spans="1:13">
      <c r="A35" s="4" t="s">
        <v>94</v>
      </c>
      <c r="B35" s="4" t="s">
        <v>31</v>
      </c>
      <c r="C35" s="4" t="s">
        <v>66</v>
      </c>
      <c r="D35" s="4" t="s">
        <v>16</v>
      </c>
      <c r="E35" s="1">
        <v>29857</v>
      </c>
      <c r="F35" s="1">
        <v>44515</v>
      </c>
      <c r="G35" s="5">
        <f ca="1">INT(YEAR(TODAY()))-INT(YEAR(E35))</f>
        <v>41</v>
      </c>
      <c r="H35" s="4" t="s">
        <v>133</v>
      </c>
      <c r="I35" s="4" t="s">
        <v>137</v>
      </c>
      <c r="J35" s="4">
        <v>31000</v>
      </c>
      <c r="M35" s="4"/>
    </row>
    <row r="36" spans="1:13">
      <c r="A36" s="4" t="s">
        <v>96</v>
      </c>
      <c r="B36" s="4" t="s">
        <v>95</v>
      </c>
      <c r="C36" s="4" t="s">
        <v>97</v>
      </c>
      <c r="D36" s="4" t="s">
        <v>16</v>
      </c>
      <c r="E36" s="1">
        <v>28780</v>
      </c>
      <c r="F36" s="1">
        <v>44516</v>
      </c>
      <c r="G36" s="5">
        <f ca="1">INT(YEAR(TODAY()))-INT(YEAR(E36))</f>
        <v>44</v>
      </c>
      <c r="H36" s="4" t="s">
        <v>133</v>
      </c>
      <c r="I36" s="4" t="s">
        <v>137</v>
      </c>
      <c r="J36" s="4">
        <v>20000</v>
      </c>
      <c r="M36" s="4"/>
    </row>
    <row r="37" spans="1:13">
      <c r="A37" s="4" t="s">
        <v>99</v>
      </c>
      <c r="B37" s="4" t="s">
        <v>98</v>
      </c>
      <c r="C37" s="4" t="s">
        <v>100</v>
      </c>
      <c r="D37" s="4" t="s">
        <v>13</v>
      </c>
      <c r="E37" s="1">
        <v>33678</v>
      </c>
      <c r="F37" s="1">
        <v>44517</v>
      </c>
      <c r="G37" s="5">
        <f ca="1">INT(YEAR(TODAY()))-INT(YEAR(E37))</f>
        <v>30</v>
      </c>
      <c r="H37" s="4" t="s">
        <v>133</v>
      </c>
      <c r="I37" s="4" t="s">
        <v>138</v>
      </c>
      <c r="J37" s="4">
        <v>20000</v>
      </c>
      <c r="M37" s="4"/>
    </row>
    <row r="38" spans="1:13">
      <c r="A38" s="4" t="s">
        <v>102</v>
      </c>
      <c r="B38" s="4" t="s">
        <v>101</v>
      </c>
      <c r="C38" s="4" t="s">
        <v>103</v>
      </c>
      <c r="D38" s="4" t="s">
        <v>13</v>
      </c>
      <c r="E38" s="1">
        <v>30463</v>
      </c>
      <c r="F38" s="1">
        <v>44518</v>
      </c>
      <c r="G38" s="5">
        <f ca="1">INT(YEAR(TODAY()))-INT(YEAR(E38))</f>
        <v>39</v>
      </c>
      <c r="H38" s="4" t="s">
        <v>133</v>
      </c>
      <c r="I38" s="4" t="s">
        <v>139</v>
      </c>
      <c r="J38" s="4">
        <v>20000</v>
      </c>
      <c r="M38" s="4"/>
    </row>
    <row r="39" spans="1:13">
      <c r="A39" s="4" t="s">
        <v>105</v>
      </c>
      <c r="B39" s="4" t="s">
        <v>106</v>
      </c>
      <c r="C39" s="4" t="s">
        <v>104</v>
      </c>
      <c r="D39" s="4" t="s">
        <v>16</v>
      </c>
      <c r="E39" s="1">
        <v>32382</v>
      </c>
      <c r="F39" s="1">
        <v>44519</v>
      </c>
      <c r="G39" s="5">
        <f ca="1">INT(YEAR(TODAY()))-INT(YEAR(E39))</f>
        <v>34</v>
      </c>
      <c r="H39" s="4" t="s">
        <v>148</v>
      </c>
      <c r="I39" s="4" t="s">
        <v>149</v>
      </c>
      <c r="J39" s="4">
        <v>70034</v>
      </c>
      <c r="M39" s="4"/>
    </row>
    <row r="40" spans="1:13">
      <c r="A40" s="4" t="s">
        <v>107</v>
      </c>
      <c r="B40" s="4" t="s">
        <v>108</v>
      </c>
      <c r="C40" s="4" t="s">
        <v>66</v>
      </c>
      <c r="D40" s="4" t="s">
        <v>16</v>
      </c>
      <c r="E40" s="1">
        <v>29547</v>
      </c>
      <c r="F40" s="1">
        <v>44520</v>
      </c>
      <c r="G40" s="5">
        <f ca="1">INT(YEAR(TODAY()))-INT(YEAR(E40))</f>
        <v>42</v>
      </c>
      <c r="H40" s="4" t="s">
        <v>133</v>
      </c>
      <c r="I40" s="4" t="s">
        <v>138</v>
      </c>
      <c r="J40" s="4">
        <v>100000</v>
      </c>
      <c r="M40" s="4"/>
    </row>
    <row r="41" spans="1:13">
      <c r="A41" s="4" t="s">
        <v>109</v>
      </c>
      <c r="B41" s="4" t="s">
        <v>110</v>
      </c>
      <c r="C41" s="4" t="s">
        <v>20</v>
      </c>
      <c r="D41" s="4" t="s">
        <v>13</v>
      </c>
      <c r="E41" s="1">
        <v>28277</v>
      </c>
      <c r="F41" s="1">
        <v>44521</v>
      </c>
      <c r="G41" s="5">
        <f ca="1">INT(YEAR(TODAY()))-INT(YEAR(E41))</f>
        <v>45</v>
      </c>
      <c r="H41" s="4" t="s">
        <v>133</v>
      </c>
      <c r="I41" s="4" t="s">
        <v>137</v>
      </c>
      <c r="J41" s="4">
        <v>80000</v>
      </c>
      <c r="M41" s="4"/>
    </row>
    <row r="42" spans="1:13">
      <c r="A42" s="4" t="s">
        <v>112</v>
      </c>
      <c r="B42" s="4" t="s">
        <v>113</v>
      </c>
      <c r="C42" s="4" t="s">
        <v>111</v>
      </c>
      <c r="D42" s="4" t="s">
        <v>13</v>
      </c>
      <c r="E42" s="1">
        <v>32297</v>
      </c>
      <c r="F42" s="1">
        <v>44522</v>
      </c>
      <c r="G42" s="5">
        <f ca="1">INT(YEAR(TODAY()))-INT(YEAR(E42))</f>
        <v>34</v>
      </c>
      <c r="H42" s="4" t="s">
        <v>133</v>
      </c>
      <c r="I42" s="4" t="s">
        <v>137</v>
      </c>
      <c r="J42" s="4">
        <v>80000</v>
      </c>
      <c r="M42" s="4"/>
    </row>
    <row r="43" spans="1:13">
      <c r="A43" s="4" t="s">
        <v>115</v>
      </c>
      <c r="B43" s="4" t="s">
        <v>116</v>
      </c>
      <c r="C43" s="4" t="s">
        <v>114</v>
      </c>
      <c r="D43" s="4" t="s">
        <v>13</v>
      </c>
      <c r="E43" s="1">
        <v>33771</v>
      </c>
      <c r="F43" s="1">
        <v>44523</v>
      </c>
      <c r="G43" s="5">
        <f ca="1">INT(YEAR(TODAY()))-INT(YEAR(E43))</f>
        <v>30</v>
      </c>
      <c r="H43" s="4" t="s">
        <v>144</v>
      </c>
      <c r="I43" s="4" t="s">
        <v>145</v>
      </c>
      <c r="J43" s="4">
        <v>70034</v>
      </c>
      <c r="M43" s="4"/>
    </row>
    <row r="44" spans="1:13">
      <c r="A44" s="4" t="s">
        <v>117</v>
      </c>
      <c r="B44" s="4" t="s">
        <v>118</v>
      </c>
      <c r="C44" s="4" t="s">
        <v>76</v>
      </c>
      <c r="D44" s="4" t="s">
        <v>13</v>
      </c>
      <c r="E44" s="1">
        <v>29038</v>
      </c>
      <c r="F44" s="1">
        <v>44524</v>
      </c>
      <c r="G44" s="5">
        <f ca="1">INT(YEAR(TODAY()))-INT(YEAR(E44))</f>
        <v>43</v>
      </c>
      <c r="H44" s="4" t="s">
        <v>133</v>
      </c>
      <c r="I44" s="4" t="s">
        <v>138</v>
      </c>
      <c r="J44" s="4">
        <v>100000</v>
      </c>
      <c r="M44" s="4"/>
    </row>
    <row r="45" spans="1:13">
      <c r="A45" s="4" t="s">
        <v>120</v>
      </c>
      <c r="B45" s="4" t="s">
        <v>121</v>
      </c>
      <c r="C45" s="4" t="s">
        <v>119</v>
      </c>
      <c r="D45" s="4" t="s">
        <v>13</v>
      </c>
      <c r="E45" s="1">
        <v>27732</v>
      </c>
      <c r="F45" s="1">
        <v>44525</v>
      </c>
      <c r="G45" s="5">
        <f ca="1">INT(YEAR(TODAY()))-INT(YEAR(E45))</f>
        <v>47</v>
      </c>
      <c r="H45" s="4" t="s">
        <v>133</v>
      </c>
      <c r="I45" s="4" t="s">
        <v>137</v>
      </c>
      <c r="J45" s="4">
        <v>100000</v>
      </c>
      <c r="M45" s="4"/>
    </row>
    <row r="46" spans="1:13">
      <c r="A46" s="4" t="s">
        <v>122</v>
      </c>
      <c r="B46" s="4" t="s">
        <v>123</v>
      </c>
      <c r="C46" s="4" t="s">
        <v>57</v>
      </c>
      <c r="D46" s="4" t="s">
        <v>16</v>
      </c>
      <c r="E46" s="1">
        <v>29808</v>
      </c>
      <c r="F46" s="1">
        <v>44526</v>
      </c>
      <c r="G46" s="5">
        <f ca="1">INT(YEAR(TODAY()))-INT(YEAR(E46))</f>
        <v>41</v>
      </c>
      <c r="H46" s="4" t="s">
        <v>133</v>
      </c>
      <c r="I46" s="4" t="s">
        <v>139</v>
      </c>
      <c r="J46" s="4">
        <v>100000</v>
      </c>
      <c r="M46" s="4"/>
    </row>
    <row r="47" spans="1:13">
      <c r="A47" s="4" t="s">
        <v>125</v>
      </c>
      <c r="B47" s="4" t="s">
        <v>126</v>
      </c>
      <c r="C47" s="4" t="s">
        <v>124</v>
      </c>
      <c r="D47" s="4" t="s">
        <v>13</v>
      </c>
      <c r="E47" s="1">
        <v>29109</v>
      </c>
      <c r="F47" s="1">
        <v>44527</v>
      </c>
      <c r="G47" s="5">
        <f ca="1">INT(YEAR(TODAY()))-INT(YEAR(E47))</f>
        <v>43</v>
      </c>
      <c r="H47" s="4" t="s">
        <v>133</v>
      </c>
      <c r="I47" s="4" t="s">
        <v>137</v>
      </c>
      <c r="J47" s="4">
        <v>211000</v>
      </c>
      <c r="M47" s="4"/>
    </row>
    <row r="48" spans="1:13">
      <c r="A48" s="4" t="s">
        <v>127</v>
      </c>
      <c r="B48" s="4" t="s">
        <v>25</v>
      </c>
      <c r="C48" s="4" t="s">
        <v>90</v>
      </c>
      <c r="D48" s="4" t="s">
        <v>13</v>
      </c>
      <c r="E48" s="1">
        <v>30009</v>
      </c>
      <c r="F48" s="1">
        <v>44528</v>
      </c>
      <c r="G48" s="5">
        <f ca="1">INT(YEAR(TODAY()))-INT(YEAR(E48))</f>
        <v>40</v>
      </c>
      <c r="H48" s="4" t="s">
        <v>144</v>
      </c>
      <c r="I48" s="4" t="s">
        <v>146</v>
      </c>
      <c r="J48" s="4">
        <v>70034</v>
      </c>
      <c r="M48" s="4"/>
    </row>
    <row r="49" spans="1:13">
      <c r="A49" s="4" t="s">
        <v>129</v>
      </c>
      <c r="B49" s="4" t="s">
        <v>121</v>
      </c>
      <c r="C49" s="4" t="s">
        <v>128</v>
      </c>
      <c r="D49" s="4" t="s">
        <v>13</v>
      </c>
      <c r="E49" s="1">
        <v>32293</v>
      </c>
      <c r="F49" s="1">
        <v>44529</v>
      </c>
      <c r="G49" s="5">
        <f ca="1">INT(YEAR(TODAY()))-INT(YEAR(E49))</f>
        <v>34</v>
      </c>
      <c r="H49" s="4" t="s">
        <v>148</v>
      </c>
      <c r="I49" s="4" t="s">
        <v>149</v>
      </c>
      <c r="J49" s="4">
        <v>40000</v>
      </c>
      <c r="M49" s="4"/>
    </row>
    <row r="50" spans="1:13">
      <c r="A50" s="4" t="s">
        <v>131</v>
      </c>
      <c r="B50" s="4" t="s">
        <v>132</v>
      </c>
      <c r="C50" s="4" t="s">
        <v>130</v>
      </c>
      <c r="D50" s="4" t="s">
        <v>13</v>
      </c>
      <c r="E50" s="1">
        <v>31213</v>
      </c>
      <c r="F50" s="1">
        <v>44530</v>
      </c>
      <c r="G50" s="5">
        <f ca="1">INT(YEAR(TODAY()))-INT(YEAR(E50))</f>
        <v>37</v>
      </c>
      <c r="H50" s="4" t="s">
        <v>133</v>
      </c>
      <c r="I50" s="4" t="s">
        <v>143</v>
      </c>
      <c r="J50" s="4">
        <v>21310</v>
      </c>
    </row>
  </sheetData>
  <dataValidations count="2">
    <dataValidation type="list" allowBlank="1" showInputMessage="1" showErrorMessage="1" sqref="D1:D50">
      <formula1>"М, Ж"</formula1>
    </dataValidation>
    <dataValidation type="list" allowBlank="1" showInputMessage="1" showErrorMessage="1" errorTitle="Стой!" error="У нас такого отдела нет!" sqref="H2:H50">
      <formula1>$M$1:$M$3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стандарт лист</vt:lpstr>
      <vt:lpstr>сортировка фамилия</vt:lpstr>
      <vt:lpstr>сортировка имени</vt:lpstr>
      <vt:lpstr>сортировка отчество</vt:lpstr>
      <vt:lpstr>сортировка дата рождения</vt:lpstr>
      <vt:lpstr>особая сортировка по отделу</vt:lpstr>
      <vt:lpstr>Авто фильтр</vt:lpstr>
      <vt:lpstr>Расширенный фильтр</vt:lpstr>
      <vt:lpstr>Подведение промежуточных итогов</vt:lpstr>
      <vt:lpstr> Функции баз данных</vt:lpstr>
      <vt:lpstr>Проверка вводимых данных</vt:lpstr>
      <vt:lpstr>'Расширенный фильтр'!Извлечь</vt:lpstr>
      <vt:lpstr>'Расширенный фильтр'!Критерии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</dc:creator>
  <cp:lastModifiedBy>Stars</cp:lastModifiedBy>
  <dcterms:created xsi:type="dcterms:W3CDTF">2022-01-12T10:48:21Z</dcterms:created>
  <dcterms:modified xsi:type="dcterms:W3CDTF">2022-01-24T14:51:29Z</dcterms:modified>
</cp:coreProperties>
</file>